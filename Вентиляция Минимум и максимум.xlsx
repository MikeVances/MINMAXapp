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khail1/Downloads/Информационная + командировка/"/>
    </mc:Choice>
  </mc:AlternateContent>
  <xr:revisionPtr revIDLastSave="0" documentId="13_ncr:1_{9C5D820B-86F9-EC48-A3EF-0B1D3E86738C}" xr6:coauthVersionLast="47" xr6:coauthVersionMax="47" xr10:uidLastSave="{00000000-0000-0000-0000-000000000000}"/>
  <bookViews>
    <workbookView xWindow="120" yWindow="760" windowWidth="21540" windowHeight="15580" activeTab="1" xr2:uid="{00000000-000D-0000-FFFF-FFFF00000000}"/>
  </bookViews>
  <sheets>
    <sheet name="Basic rules" sheetId="2" r:id="rId1"/>
    <sheet name="Ventilation required" sheetId="1" r:id="rId2"/>
    <sheet name="Advanced settings" sheetId="3" r:id="rId3"/>
  </sheets>
  <definedNames>
    <definedName name="_xlnm.Print_Area" localSheetId="1">'Ventilation required'!$A$2:$U$52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I23" i="1" s="1"/>
  <c r="L3" i="1"/>
  <c r="I25" i="1" s="1"/>
  <c r="L4" i="1"/>
  <c r="I22" i="1" l="1"/>
  <c r="I12" i="1"/>
  <c r="I16" i="1"/>
  <c r="I18" i="1"/>
  <c r="I20" i="1"/>
  <c r="I17" i="1"/>
  <c r="M19" i="1"/>
  <c r="I21" i="1"/>
  <c r="I15" i="1"/>
  <c r="M18" i="1"/>
  <c r="I13" i="1"/>
  <c r="M22" i="1"/>
  <c r="I19" i="1"/>
  <c r="I14" i="1"/>
  <c r="M23" i="1"/>
  <c r="M16" i="1"/>
  <c r="M20" i="1"/>
  <c r="Q14" i="1"/>
  <c r="M31" i="1"/>
  <c r="M15" i="1"/>
  <c r="Q11" i="1"/>
  <c r="Q24" i="1"/>
  <c r="Q25" i="1"/>
  <c r="Q20" i="1"/>
  <c r="I11" i="1"/>
  <c r="M21" i="1"/>
  <c r="M17" i="1"/>
  <c r="M12" i="1"/>
  <c r="Q21" i="1"/>
  <c r="M14" i="1"/>
  <c r="Q22" i="1"/>
  <c r="Q16" i="1"/>
  <c r="M24" i="1"/>
  <c r="Q17" i="1"/>
  <c r="Q12" i="1"/>
  <c r="M13" i="1"/>
  <c r="Q23" i="1"/>
  <c r="Q18" i="1"/>
  <c r="Q13" i="1"/>
  <c r="I24" i="1"/>
  <c r="Q19" i="1"/>
  <c r="Q15" i="1"/>
  <c r="M11" i="1"/>
  <c r="M25" i="1"/>
  <c r="I30" i="1"/>
  <c r="I26" i="1"/>
  <c r="I31" i="1"/>
  <c r="I27" i="1"/>
  <c r="M30" i="1"/>
  <c r="M27" i="1"/>
  <c r="M26" i="1"/>
  <c r="Q30" i="1"/>
  <c r="Q26" i="1"/>
  <c r="Q31" i="1"/>
  <c r="Q27" i="1"/>
  <c r="F52" i="1"/>
  <c r="I52" i="1" s="1"/>
  <c r="F51" i="1"/>
  <c r="Q51" i="1" s="1"/>
  <c r="F50" i="1"/>
  <c r="M50" i="1" s="1"/>
  <c r="F49" i="1"/>
  <c r="I49" i="1" s="1"/>
  <c r="F48" i="1"/>
  <c r="Q48" i="1" s="1"/>
  <c r="F47" i="1"/>
  <c r="Q47" i="1" s="1"/>
  <c r="F46" i="1"/>
  <c r="M46" i="1" s="1"/>
  <c r="F45" i="1"/>
  <c r="I45" i="1" s="1"/>
  <c r="F44" i="1"/>
  <c r="M44" i="1" s="1"/>
  <c r="F43" i="1"/>
  <c r="I43" i="1" s="1"/>
  <c r="F42" i="1"/>
  <c r="I42" i="1" s="1"/>
  <c r="F41" i="1"/>
  <c r="M41" i="1" s="1"/>
  <c r="F40" i="1"/>
  <c r="I40" i="1" s="1"/>
  <c r="F39" i="1"/>
  <c r="I39" i="1" s="1"/>
  <c r="F38" i="1"/>
  <c r="Q38" i="1" s="1"/>
  <c r="F37" i="1"/>
  <c r="I37" i="1" s="1"/>
  <c r="F36" i="1"/>
  <c r="I36" i="1" s="1"/>
  <c r="F35" i="1"/>
  <c r="M35" i="1" s="1"/>
  <c r="F34" i="1"/>
  <c r="M34" i="1" s="1"/>
  <c r="F33" i="1"/>
  <c r="I33" i="1" s="1"/>
  <c r="F32" i="1"/>
  <c r="M32" i="1" s="1"/>
  <c r="F29" i="1"/>
  <c r="I29" i="1" s="1"/>
  <c r="F28" i="1"/>
  <c r="M28" i="1" s="1"/>
  <c r="E11" i="1"/>
  <c r="G11" i="1" s="1"/>
  <c r="U9" i="1"/>
  <c r="M52" i="1" l="1"/>
  <c r="Q42" i="1"/>
  <c r="M43" i="1"/>
  <c r="Q43" i="1"/>
  <c r="M47" i="1"/>
  <c r="Q34" i="1"/>
  <c r="I51" i="1"/>
  <c r="Q45" i="1"/>
  <c r="M49" i="1"/>
  <c r="Q33" i="1"/>
  <c r="I32" i="1"/>
  <c r="M33" i="1"/>
  <c r="I35" i="1"/>
  <c r="I44" i="1"/>
  <c r="H11" i="1"/>
  <c r="J11" i="1" s="1"/>
  <c r="Q50" i="1"/>
  <c r="Q49" i="1"/>
  <c r="Q44" i="1"/>
  <c r="Q40" i="1"/>
  <c r="M48" i="1"/>
  <c r="Q39" i="1"/>
  <c r="Q28" i="1"/>
  <c r="M42" i="1"/>
  <c r="Q52" i="1"/>
  <c r="I47" i="1"/>
  <c r="I50" i="1"/>
  <c r="I48" i="1"/>
  <c r="Q37" i="1"/>
  <c r="I28" i="1"/>
  <c r="M29" i="1"/>
  <c r="M36" i="1"/>
  <c r="I38" i="1"/>
  <c r="P11" i="1"/>
  <c r="R11" i="1" s="1"/>
  <c r="U11" i="1"/>
  <c r="V11" i="1" s="1"/>
  <c r="Q32" i="1"/>
  <c r="Q36" i="1"/>
  <c r="Q41" i="1"/>
  <c r="M45" i="1"/>
  <c r="M51" i="1"/>
  <c r="I41" i="1"/>
  <c r="M39" i="1"/>
  <c r="M38" i="1"/>
  <c r="Q35" i="1"/>
  <c r="I34" i="1"/>
  <c r="L11" i="1"/>
  <c r="I46" i="1"/>
  <c r="M40" i="1"/>
  <c r="Q46" i="1"/>
  <c r="M37" i="1"/>
  <c r="Q29" i="1"/>
  <c r="E12" i="1"/>
  <c r="S11" i="1" l="1"/>
  <c r="K11" i="1"/>
  <c r="O11" i="1"/>
  <c r="N11" i="1"/>
  <c r="G12" i="1"/>
  <c r="U12" i="1" s="1"/>
  <c r="V12" i="1" s="1"/>
  <c r="H12" i="1"/>
  <c r="P12" i="1"/>
  <c r="S12" i="1" s="1"/>
  <c r="L12" i="1"/>
  <c r="E13" i="1"/>
  <c r="N12" i="1" l="1"/>
  <c r="J12" i="1"/>
  <c r="R12" i="1"/>
  <c r="E14" i="1"/>
  <c r="E15" i="1" s="1"/>
  <c r="H13" i="1"/>
  <c r="L13" i="1"/>
  <c r="P13" i="1"/>
  <c r="O12" i="1"/>
  <c r="G13" i="1"/>
  <c r="S13" i="1" l="1"/>
  <c r="J13" i="1"/>
  <c r="G14" i="1"/>
  <c r="U14" i="1" s="1"/>
  <c r="V14" i="1" s="1"/>
  <c r="H15" i="1"/>
  <c r="P15" i="1"/>
  <c r="L15" i="1"/>
  <c r="P14" i="1"/>
  <c r="R14" i="1" s="1"/>
  <c r="H14" i="1"/>
  <c r="L14" i="1"/>
  <c r="N13" i="1"/>
  <c r="R13" i="1"/>
  <c r="U13" i="1"/>
  <c r="V13" i="1" s="1"/>
  <c r="G15" i="1"/>
  <c r="E16" i="1"/>
  <c r="J14" i="1" l="1"/>
  <c r="S14" i="1"/>
  <c r="N14" i="1"/>
  <c r="R15" i="1"/>
  <c r="L16" i="1"/>
  <c r="H16" i="1"/>
  <c r="P16" i="1"/>
  <c r="J15" i="1"/>
  <c r="N15" i="1"/>
  <c r="O14" i="1"/>
  <c r="O13" i="1"/>
  <c r="U15" i="1"/>
  <c r="V15" i="1" s="1"/>
  <c r="S15" i="1"/>
  <c r="G16" i="1"/>
  <c r="E17" i="1"/>
  <c r="J16" i="1" l="1"/>
  <c r="H17" i="1"/>
  <c r="P17" i="1"/>
  <c r="L17" i="1"/>
  <c r="N16" i="1"/>
  <c r="R16" i="1"/>
  <c r="O15" i="1"/>
  <c r="S16" i="1"/>
  <c r="U16" i="1"/>
  <c r="V16" i="1" s="1"/>
  <c r="G17" i="1"/>
  <c r="E18" i="1"/>
  <c r="N17" i="1" l="1"/>
  <c r="R17" i="1"/>
  <c r="J17" i="1"/>
  <c r="L18" i="1"/>
  <c r="H18" i="1"/>
  <c r="P18" i="1"/>
  <c r="O16" i="1"/>
  <c r="G18" i="1"/>
  <c r="E19" i="1"/>
  <c r="U17" i="1"/>
  <c r="V17" i="1" s="1"/>
  <c r="S17" i="1"/>
  <c r="N18" i="1" l="1"/>
  <c r="L19" i="1"/>
  <c r="H19" i="1"/>
  <c r="P19" i="1"/>
  <c r="R18" i="1"/>
  <c r="J18" i="1"/>
  <c r="O17" i="1"/>
  <c r="S18" i="1"/>
  <c r="U18" i="1"/>
  <c r="V18" i="1" s="1"/>
  <c r="G19" i="1"/>
  <c r="E20" i="1"/>
  <c r="R19" i="1" l="1"/>
  <c r="J19" i="1"/>
  <c r="N19" i="1"/>
  <c r="L20" i="1"/>
  <c r="H20" i="1"/>
  <c r="P20" i="1"/>
  <c r="O18" i="1"/>
  <c r="K18" i="1"/>
  <c r="U19" i="1"/>
  <c r="V19" i="1" s="1"/>
  <c r="S19" i="1"/>
  <c r="G20" i="1"/>
  <c r="E21" i="1"/>
  <c r="R20" i="1" l="1"/>
  <c r="N20" i="1"/>
  <c r="J20" i="1"/>
  <c r="H21" i="1"/>
  <c r="L21" i="1"/>
  <c r="P21" i="1"/>
  <c r="K19" i="1"/>
  <c r="O19" i="1"/>
  <c r="S20" i="1"/>
  <c r="U20" i="1"/>
  <c r="V20" i="1" s="1"/>
  <c r="G21" i="1"/>
  <c r="E22" i="1"/>
  <c r="R21" i="1" l="1"/>
  <c r="N21" i="1"/>
  <c r="H22" i="1"/>
  <c r="L22" i="1"/>
  <c r="P22" i="1"/>
  <c r="J21" i="1"/>
  <c r="O20" i="1"/>
  <c r="K20" i="1"/>
  <c r="U21" i="1"/>
  <c r="V21" i="1" s="1"/>
  <c r="S21" i="1"/>
  <c r="G22" i="1"/>
  <c r="E23" i="1"/>
  <c r="R22" i="1" l="1"/>
  <c r="N22" i="1"/>
  <c r="J22" i="1"/>
  <c r="H23" i="1"/>
  <c r="L23" i="1"/>
  <c r="P23" i="1"/>
  <c r="K21" i="1"/>
  <c r="O21" i="1"/>
  <c r="S22" i="1"/>
  <c r="U22" i="1"/>
  <c r="V22" i="1" s="1"/>
  <c r="G23" i="1"/>
  <c r="E24" i="1"/>
  <c r="R23" i="1" l="1"/>
  <c r="J23" i="1"/>
  <c r="N23" i="1"/>
  <c r="P24" i="1"/>
  <c r="L24" i="1"/>
  <c r="H24" i="1"/>
  <c r="O22" i="1"/>
  <c r="K22" i="1"/>
  <c r="U23" i="1"/>
  <c r="V23" i="1" s="1"/>
  <c r="S23" i="1"/>
  <c r="G24" i="1"/>
  <c r="E25" i="1"/>
  <c r="N24" i="1" l="1"/>
  <c r="J24" i="1"/>
  <c r="H25" i="1"/>
  <c r="L25" i="1"/>
  <c r="P25" i="1"/>
  <c r="R24" i="1"/>
  <c r="O23" i="1"/>
  <c r="K23" i="1"/>
  <c r="S24" i="1"/>
  <c r="U24" i="1"/>
  <c r="V24" i="1" s="1"/>
  <c r="G25" i="1"/>
  <c r="E26" i="1"/>
  <c r="N25" i="1" l="1"/>
  <c r="R25" i="1"/>
  <c r="J25" i="1"/>
  <c r="H26" i="1"/>
  <c r="P26" i="1"/>
  <c r="L26" i="1"/>
  <c r="O24" i="1"/>
  <c r="K24" i="1"/>
  <c r="U25" i="1"/>
  <c r="V25" i="1" s="1"/>
  <c r="S25" i="1"/>
  <c r="G26" i="1"/>
  <c r="E27" i="1"/>
  <c r="R26" i="1" l="1"/>
  <c r="N26" i="1"/>
  <c r="J26" i="1"/>
  <c r="L27" i="1"/>
  <c r="H27" i="1"/>
  <c r="P27" i="1"/>
  <c r="O25" i="1"/>
  <c r="K25" i="1"/>
  <c r="S26" i="1"/>
  <c r="U26" i="1"/>
  <c r="V26" i="1" s="1"/>
  <c r="G27" i="1"/>
  <c r="E28" i="1"/>
  <c r="N27" i="1" l="1"/>
  <c r="L28" i="1"/>
  <c r="H28" i="1"/>
  <c r="P28" i="1"/>
  <c r="J27" i="1"/>
  <c r="R27" i="1"/>
  <c r="K26" i="1"/>
  <c r="O26" i="1"/>
  <c r="U27" i="1"/>
  <c r="V27" i="1" s="1"/>
  <c r="S27" i="1"/>
  <c r="G28" i="1"/>
  <c r="E29" i="1"/>
  <c r="N28" i="1" l="1"/>
  <c r="H29" i="1"/>
  <c r="L29" i="1"/>
  <c r="P29" i="1"/>
  <c r="R28" i="1"/>
  <c r="J28" i="1"/>
  <c r="K27" i="1"/>
  <c r="O27" i="1"/>
  <c r="U28" i="1"/>
  <c r="V28" i="1" s="1"/>
  <c r="S28" i="1"/>
  <c r="G29" i="1"/>
  <c r="E30" i="1"/>
  <c r="J29" i="1" l="1"/>
  <c r="R29" i="1"/>
  <c r="N29" i="1"/>
  <c r="H30" i="1"/>
  <c r="P30" i="1"/>
  <c r="L30" i="1"/>
  <c r="K28" i="1"/>
  <c r="O28" i="1"/>
  <c r="S29" i="1"/>
  <c r="U29" i="1"/>
  <c r="V29" i="1" s="1"/>
  <c r="G30" i="1"/>
  <c r="E31" i="1"/>
  <c r="J30" i="1" l="1"/>
  <c r="N30" i="1"/>
  <c r="R30" i="1"/>
  <c r="P31" i="1"/>
  <c r="L31" i="1"/>
  <c r="H31" i="1"/>
  <c r="O29" i="1"/>
  <c r="K29" i="1"/>
  <c r="U30" i="1"/>
  <c r="V30" i="1" s="1"/>
  <c r="S30" i="1"/>
  <c r="G31" i="1"/>
  <c r="E32" i="1"/>
  <c r="N31" i="1" l="1"/>
  <c r="J31" i="1"/>
  <c r="L32" i="1"/>
  <c r="H32" i="1"/>
  <c r="P32" i="1"/>
  <c r="R31" i="1"/>
  <c r="K30" i="1"/>
  <c r="O30" i="1"/>
  <c r="S31" i="1"/>
  <c r="U31" i="1"/>
  <c r="V31" i="1" s="1"/>
  <c r="E33" i="1"/>
  <c r="G32" i="1"/>
  <c r="J32" i="1" l="1"/>
  <c r="H33" i="1"/>
  <c r="P33" i="1"/>
  <c r="L33" i="1"/>
  <c r="N32" i="1"/>
  <c r="R32" i="1"/>
  <c r="K31" i="1"/>
  <c r="O31" i="1"/>
  <c r="G33" i="1"/>
  <c r="E34" i="1"/>
  <c r="S32" i="1"/>
  <c r="U32" i="1"/>
  <c r="V32" i="1" s="1"/>
  <c r="R33" i="1" l="1"/>
  <c r="N33" i="1"/>
  <c r="L34" i="1"/>
  <c r="P34" i="1"/>
  <c r="H34" i="1"/>
  <c r="J33" i="1"/>
  <c r="K32" i="1"/>
  <c r="O32" i="1"/>
  <c r="U33" i="1"/>
  <c r="V33" i="1" s="1"/>
  <c r="S33" i="1"/>
  <c r="G34" i="1"/>
  <c r="E35" i="1"/>
  <c r="R34" i="1" l="1"/>
  <c r="J34" i="1"/>
  <c r="N34" i="1"/>
  <c r="L35" i="1"/>
  <c r="H35" i="1"/>
  <c r="P35" i="1"/>
  <c r="K33" i="1"/>
  <c r="O33" i="1"/>
  <c r="U34" i="1"/>
  <c r="V34" i="1" s="1"/>
  <c r="S34" i="1"/>
  <c r="G35" i="1"/>
  <c r="E36" i="1"/>
  <c r="N35" i="1" l="1"/>
  <c r="J35" i="1"/>
  <c r="R35" i="1"/>
  <c r="H36" i="1"/>
  <c r="L36" i="1"/>
  <c r="P36" i="1"/>
  <c r="K34" i="1"/>
  <c r="O34" i="1"/>
  <c r="S35" i="1"/>
  <c r="U35" i="1"/>
  <c r="V35" i="1" s="1"/>
  <c r="E37" i="1"/>
  <c r="G36" i="1"/>
  <c r="J36" i="1" l="1"/>
  <c r="N36" i="1"/>
  <c r="R36" i="1"/>
  <c r="H37" i="1"/>
  <c r="L37" i="1"/>
  <c r="P37" i="1"/>
  <c r="K35" i="1"/>
  <c r="O35" i="1"/>
  <c r="G37" i="1"/>
  <c r="E38" i="1"/>
  <c r="S36" i="1"/>
  <c r="U36" i="1"/>
  <c r="V36" i="1" s="1"/>
  <c r="R37" i="1" l="1"/>
  <c r="P38" i="1"/>
  <c r="H38" i="1"/>
  <c r="L38" i="1"/>
  <c r="N37" i="1"/>
  <c r="J37" i="1"/>
  <c r="K36" i="1"/>
  <c r="O36" i="1"/>
  <c r="U37" i="1"/>
  <c r="V37" i="1" s="1"/>
  <c r="S37" i="1"/>
  <c r="G38" i="1"/>
  <c r="E39" i="1"/>
  <c r="J38" i="1" l="1"/>
  <c r="H39" i="1"/>
  <c r="L39" i="1"/>
  <c r="P39" i="1"/>
  <c r="R38" i="1"/>
  <c r="N38" i="1"/>
  <c r="K37" i="1"/>
  <c r="O37" i="1"/>
  <c r="U38" i="1"/>
  <c r="V38" i="1" s="1"/>
  <c r="S38" i="1"/>
  <c r="G39" i="1"/>
  <c r="E40" i="1"/>
  <c r="J39" i="1" l="1"/>
  <c r="N39" i="1"/>
  <c r="R39" i="1"/>
  <c r="H40" i="1"/>
  <c r="P40" i="1"/>
  <c r="L40" i="1"/>
  <c r="K38" i="1"/>
  <c r="O38" i="1"/>
  <c r="E41" i="1"/>
  <c r="G40" i="1"/>
  <c r="S39" i="1"/>
  <c r="U39" i="1"/>
  <c r="V39" i="1" s="1"/>
  <c r="L41" i="1" l="1"/>
  <c r="H41" i="1"/>
  <c r="P41" i="1"/>
  <c r="J40" i="1"/>
  <c r="R40" i="1"/>
  <c r="N40" i="1"/>
  <c r="K39" i="1"/>
  <c r="O39" i="1"/>
  <c r="S40" i="1"/>
  <c r="U40" i="1"/>
  <c r="V40" i="1" s="1"/>
  <c r="G41" i="1"/>
  <c r="E42" i="1"/>
  <c r="J41" i="1" l="1"/>
  <c r="R41" i="1"/>
  <c r="P42" i="1"/>
  <c r="H42" i="1"/>
  <c r="L42" i="1"/>
  <c r="N41" i="1"/>
  <c r="K40" i="1"/>
  <c r="O40" i="1"/>
  <c r="U41" i="1"/>
  <c r="V41" i="1" s="1"/>
  <c r="S41" i="1"/>
  <c r="G42" i="1"/>
  <c r="E43" i="1"/>
  <c r="J42" i="1" l="1"/>
  <c r="N42" i="1"/>
  <c r="R42" i="1"/>
  <c r="P43" i="1"/>
  <c r="H43" i="1"/>
  <c r="L43" i="1"/>
  <c r="K41" i="1"/>
  <c r="O41" i="1"/>
  <c r="G43" i="1"/>
  <c r="E44" i="1"/>
  <c r="U42" i="1"/>
  <c r="V42" i="1" s="1"/>
  <c r="S42" i="1"/>
  <c r="R43" i="1" l="1"/>
  <c r="J43" i="1"/>
  <c r="L44" i="1"/>
  <c r="P44" i="1"/>
  <c r="H44" i="1"/>
  <c r="N43" i="1"/>
  <c r="O42" i="1"/>
  <c r="K42" i="1"/>
  <c r="S43" i="1"/>
  <c r="U43" i="1"/>
  <c r="V43" i="1" s="1"/>
  <c r="E45" i="1"/>
  <c r="G44" i="1"/>
  <c r="N44" i="1" l="1"/>
  <c r="R44" i="1"/>
  <c r="H45" i="1"/>
  <c r="L45" i="1"/>
  <c r="P45" i="1"/>
  <c r="J44" i="1"/>
  <c r="K43" i="1"/>
  <c r="O43" i="1"/>
  <c r="S44" i="1"/>
  <c r="U44" i="1"/>
  <c r="V44" i="1" s="1"/>
  <c r="G45" i="1"/>
  <c r="E46" i="1"/>
  <c r="L46" i="1" l="1"/>
  <c r="H46" i="1"/>
  <c r="P46" i="1"/>
  <c r="N45" i="1"/>
  <c r="J45" i="1"/>
  <c r="R45" i="1"/>
  <c r="O44" i="1"/>
  <c r="K44" i="1"/>
  <c r="U45" i="1"/>
  <c r="V45" i="1" s="1"/>
  <c r="S45" i="1"/>
  <c r="G46" i="1"/>
  <c r="E47" i="1"/>
  <c r="R46" i="1" l="1"/>
  <c r="J46" i="1"/>
  <c r="N46" i="1"/>
  <c r="L47" i="1"/>
  <c r="P47" i="1"/>
  <c r="H47" i="1"/>
  <c r="K45" i="1"/>
  <c r="O45" i="1"/>
  <c r="G47" i="1"/>
  <c r="E48" i="1"/>
  <c r="U46" i="1"/>
  <c r="V46" i="1" s="1"/>
  <c r="S46" i="1"/>
  <c r="R47" i="1" l="1"/>
  <c r="P48" i="1"/>
  <c r="H48" i="1"/>
  <c r="L48" i="1"/>
  <c r="N47" i="1"/>
  <c r="J47" i="1"/>
  <c r="K46" i="1"/>
  <c r="O46" i="1"/>
  <c r="E49" i="1"/>
  <c r="G48" i="1"/>
  <c r="S47" i="1"/>
  <c r="U47" i="1"/>
  <c r="V47" i="1" s="1"/>
  <c r="N48" i="1" l="1"/>
  <c r="J48" i="1"/>
  <c r="H49" i="1"/>
  <c r="L49" i="1"/>
  <c r="P49" i="1"/>
  <c r="R48" i="1"/>
  <c r="K47" i="1"/>
  <c r="O47" i="1"/>
  <c r="G49" i="1"/>
  <c r="E50" i="1"/>
  <c r="S48" i="1"/>
  <c r="U48" i="1"/>
  <c r="V48" i="1" s="1"/>
  <c r="N49" i="1" l="1"/>
  <c r="L50" i="1"/>
  <c r="P50" i="1"/>
  <c r="H50" i="1"/>
  <c r="R49" i="1"/>
  <c r="J49" i="1"/>
  <c r="K48" i="1"/>
  <c r="O48" i="1"/>
  <c r="U49" i="1"/>
  <c r="V49" i="1" s="1"/>
  <c r="S49" i="1"/>
  <c r="G50" i="1"/>
  <c r="E51" i="1"/>
  <c r="P51" i="1" l="1"/>
  <c r="H51" i="1"/>
  <c r="L51" i="1"/>
  <c r="R50" i="1"/>
  <c r="J50" i="1"/>
  <c r="N50" i="1"/>
  <c r="K49" i="1"/>
  <c r="O49" i="1"/>
  <c r="U50" i="1"/>
  <c r="V50" i="1" s="1"/>
  <c r="S50" i="1"/>
  <c r="G51" i="1"/>
  <c r="E52" i="1"/>
  <c r="J51" i="1" l="1"/>
  <c r="G52" i="1"/>
  <c r="U52" i="1" s="1"/>
  <c r="V52" i="1" s="1"/>
  <c r="H52" i="1"/>
  <c r="L52" i="1"/>
  <c r="P52" i="1"/>
  <c r="N51" i="1"/>
  <c r="R51" i="1"/>
  <c r="K50" i="1"/>
  <c r="O50" i="1"/>
  <c r="S51" i="1"/>
  <c r="U51" i="1"/>
  <c r="V51" i="1" s="1"/>
  <c r="J52" i="1" l="1"/>
  <c r="R52" i="1"/>
  <c r="S52" i="1"/>
  <c r="N52" i="1"/>
  <c r="O52" i="1"/>
  <c r="O51" i="1"/>
  <c r="K52" i="1"/>
  <c r="K51" i="1"/>
  <c r="K12" i="1"/>
  <c r="K13" i="1"/>
  <c r="K14" i="1"/>
  <c r="K15" i="1"/>
  <c r="K16" i="1"/>
  <c r="K17" i="1"/>
</calcChain>
</file>

<file path=xl/sharedStrings.xml><?xml version="1.0" encoding="utf-8"?>
<sst xmlns="http://schemas.openxmlformats.org/spreadsheetml/2006/main" count="88" uniqueCount="72">
  <si>
    <t xml:space="preserve"> </t>
  </si>
  <si>
    <t>House</t>
  </si>
  <si>
    <t>Broilers</t>
  </si>
  <si>
    <r>
      <t xml:space="preserve"> m</t>
    </r>
    <r>
      <rPr>
        <b/>
        <vertAlign val="superscript"/>
        <sz val="12"/>
        <color indexed="8"/>
        <rFont val="Arial Baltic"/>
        <family val="2"/>
        <charset val="186"/>
      </rPr>
      <t>3</t>
    </r>
    <r>
      <rPr>
        <b/>
        <sz val="12"/>
        <color indexed="8"/>
        <rFont val="Arial Baltic"/>
        <family val="2"/>
        <charset val="186"/>
      </rPr>
      <t>/hour</t>
    </r>
  </si>
  <si>
    <t>MAXIMUM VENTILATIE</t>
  </si>
  <si>
    <t>Dag</t>
  </si>
  <si>
    <t>Body weight</t>
  </si>
  <si>
    <t>Winter</t>
  </si>
  <si>
    <t>#</t>
  </si>
  <si>
    <t>Kg meat</t>
  </si>
  <si>
    <t>Outside &lt; 0°C</t>
  </si>
  <si>
    <t>Summer</t>
  </si>
  <si>
    <t>Tropical</t>
  </si>
  <si>
    <t>Precatching</t>
  </si>
  <si>
    <t>Hotraco (Sirius / Orion)</t>
  </si>
  <si>
    <t>Basic rules concerning ventilation.</t>
  </si>
  <si>
    <t>Bandwidth (= комфортная зона = поправка на комфорт)</t>
  </si>
  <si>
    <t xml:space="preserve">Should be about 3 - 5 degrees. </t>
  </si>
  <si>
    <t>Summertime 3, wintertime 5 degrees.</t>
  </si>
  <si>
    <t>Underpressure:</t>
  </si>
  <si>
    <t>The underpressure in the houses is about the width of the house.</t>
  </si>
  <si>
    <t>In wintertime: + 5 Pa, summertime + 0</t>
  </si>
  <si>
    <t>Offset between minimum ventilation and temperature:</t>
  </si>
  <si>
    <t>From 14 days until slaughtering: 1 degree</t>
  </si>
  <si>
    <t>Until 14 days: 0.5 degree</t>
  </si>
  <si>
    <t>Relative humidity</t>
  </si>
  <si>
    <t>Maximum CO2: 3500 ppm in wintertime when heaters are constantly burning. Ideal is not higher then 3000 ppm</t>
  </si>
  <si>
    <t>The computer can regulate then extra minimum ventilation in case of too high RH%</t>
  </si>
  <si>
    <t>The first way of regulation of pressure is to regulate the pressure with a pressure sensor.</t>
  </si>
  <si>
    <t>Another way of  regulation of pressure is to have a fixed relation between inletopening and ventilation niveau, for example:</t>
  </si>
  <si>
    <t>In this case, one must be sure that all ventilators and valves work correctly and during the round, the valves or ventilators cannot be touched anymore!</t>
  </si>
  <si>
    <t>In all cases, it is an absolute necessity to check the system with manual pressure measurement in the houses!!!</t>
  </si>
  <si>
    <t>Also a smoke test is needed to establish the air flow from the valves to the ceiling to have the ideal air flow patron.</t>
  </si>
  <si>
    <t>Spring/Autumn</t>
  </si>
  <si>
    <t>Mimimum ventilation</t>
  </si>
  <si>
    <t>0 - 7 days:</t>
  </si>
  <si>
    <t>7 - 14 days</t>
  </si>
  <si>
    <t xml:space="preserve"> m3/ broiler</t>
  </si>
  <si>
    <t>m3/ broiler</t>
  </si>
  <si>
    <t>Minimal max.</t>
  </si>
  <si>
    <r>
      <t>Min. Ventilation m</t>
    </r>
    <r>
      <rPr>
        <b/>
        <vertAlign val="superscript"/>
        <sz val="10"/>
        <color indexed="10"/>
        <rFont val="Arial Baltic"/>
      </rPr>
      <t>3</t>
    </r>
    <r>
      <rPr>
        <b/>
        <sz val="10"/>
        <color indexed="10"/>
        <rFont val="Arial Baltic"/>
      </rPr>
      <t>/ kg LW metabolic</t>
    </r>
  </si>
  <si>
    <t>m3 per broiler</t>
  </si>
  <si>
    <t>Outside  &gt; 15°C</t>
  </si>
  <si>
    <t>Outside 0-15°C</t>
  </si>
  <si>
    <r>
      <t>Min. Ventilation m</t>
    </r>
    <r>
      <rPr>
        <b/>
        <vertAlign val="superscript"/>
        <sz val="10"/>
        <color theme="3"/>
        <rFont val="Arial Baltic"/>
        <family val="2"/>
        <charset val="186"/>
      </rPr>
      <t>3</t>
    </r>
    <r>
      <rPr>
        <b/>
        <sz val="10"/>
        <color theme="3"/>
        <rFont val="Arial Baltic"/>
        <family val="2"/>
        <charset val="186"/>
      </rPr>
      <t>/ kg LW metabolic</t>
    </r>
  </si>
  <si>
    <r>
      <t>Min. Ventilation m</t>
    </r>
    <r>
      <rPr>
        <b/>
        <vertAlign val="superscript"/>
        <sz val="10"/>
        <rFont val="Arial Baltic"/>
        <family val="2"/>
        <charset val="186"/>
      </rPr>
      <t>3</t>
    </r>
    <r>
      <rPr>
        <b/>
        <sz val="10"/>
        <rFont val="Arial Baltic"/>
        <family val="2"/>
        <charset val="186"/>
      </rPr>
      <t>/ kg LW metabolic</t>
    </r>
  </si>
  <si>
    <t>Relative humidity should not exceed 60%, because of the risk of wet litter in the beginning of the cycle (until 14 days)</t>
  </si>
  <si>
    <t>After 14 days, you can allow slight higher humidity, up to 70%, to avoid unwanted extra ventilation.</t>
  </si>
  <si>
    <t>Then the computer will always adjust the valves in the correct opening to have the same underpressure when ventilation goes up or down.</t>
  </si>
  <si>
    <t>m3</t>
  </si>
  <si>
    <t>m3/br</t>
  </si>
  <si>
    <t>m3/kg</t>
  </si>
  <si>
    <t>% of total</t>
  </si>
  <si>
    <t>Amount broilers</t>
  </si>
  <si>
    <t>Heater correction: 0 - 14 days</t>
  </si>
  <si>
    <t>Heater correction 14 - 28 days</t>
  </si>
  <si>
    <t>Heater correction 28 days - slaughter</t>
  </si>
  <si>
    <t xml:space="preserve">1. The schedule op page two is based on metabolic weight of the chicken. </t>
  </si>
  <si>
    <t>In this way, we can more accurately establish minimum ventilation.</t>
  </si>
  <si>
    <t>2. Ventilation requires a good working system. This means:</t>
  </si>
  <si>
    <t>- Correct calibration of all sensors, meaning temperature, Relative Humidity and underpressure.</t>
  </si>
  <si>
    <t>- Without correct sensors, computers cannot function, so you need to have good testing equipment to control the sensors!</t>
  </si>
  <si>
    <t>- Correct calibration and working of the ventilators and the valves. Especially motors and motor calibration of the valves is important.</t>
  </si>
  <si>
    <t>3. The schedule gives a minimum for minimum ventilation.</t>
  </si>
  <si>
    <t>However, this level could in some circumstances not be enough to ventilate out the humidity, produced during the cycle.</t>
  </si>
  <si>
    <t>Therefore, the computer should be set correctly for humidity corrections, as been set in this sheet.</t>
  </si>
  <si>
    <t>4. In the first days, one should ALWAYS control CO2 level and write this down in the reports.</t>
  </si>
  <si>
    <t>Explanation of the Hotraco Sirius.</t>
  </si>
  <si>
    <t>Min. Temp.</t>
  </si>
  <si>
    <t>RV</t>
  </si>
  <si>
    <t>Maximum Capacity outlet:</t>
  </si>
  <si>
    <t>m3/h/kg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</si>
</sst>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57">
    <font>
      <sz val="10"/>
      <name val="Arial"/>
    </font>
    <font>
      <sz val="10"/>
      <name val="Arial"/>
    </font>
    <font>
      <sz val="10"/>
      <color indexed="8"/>
      <name val="Arial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color indexed="8"/>
      <name val="Comic Sans MS"/>
      <family val="4"/>
    </font>
    <font>
      <sz val="10"/>
      <color indexed="8"/>
      <name val="Arrus Blk BT"/>
      <family val="1"/>
    </font>
    <font>
      <sz val="12"/>
      <color indexed="8"/>
      <name val="Arial"/>
      <family val="2"/>
    </font>
    <font>
      <sz val="12"/>
      <color indexed="8"/>
      <name val="Arial Baltic"/>
      <family val="2"/>
      <charset val="186"/>
    </font>
    <font>
      <b/>
      <i/>
      <sz val="12"/>
      <color indexed="8"/>
      <name val="Arial Baltic"/>
      <family val="2"/>
      <charset val="186"/>
    </font>
    <font>
      <b/>
      <sz val="13"/>
      <color indexed="20"/>
      <name val="Arial Baltic"/>
      <family val="2"/>
      <charset val="186"/>
    </font>
    <font>
      <b/>
      <sz val="12"/>
      <color indexed="8"/>
      <name val="Arial Baltic"/>
      <family val="2"/>
      <charset val="186"/>
    </font>
    <font>
      <b/>
      <sz val="13"/>
      <color indexed="8"/>
      <name val="Arial Baltic"/>
      <family val="2"/>
      <charset val="186"/>
    </font>
    <font>
      <b/>
      <vertAlign val="superscript"/>
      <sz val="12"/>
      <color indexed="8"/>
      <name val="Arial Baltic"/>
      <family val="2"/>
      <charset val="186"/>
    </font>
    <font>
      <b/>
      <sz val="14"/>
      <color indexed="8"/>
      <name val="Comic Sans MS"/>
      <family val="4"/>
    </font>
    <font>
      <sz val="10"/>
      <color indexed="8"/>
      <name val="Arial Baltic"/>
      <family val="2"/>
      <charset val="186"/>
    </font>
    <font>
      <b/>
      <sz val="10"/>
      <color indexed="8"/>
      <name val="Arial Baltic"/>
      <family val="2"/>
      <charset val="186"/>
    </font>
    <font>
      <b/>
      <sz val="11"/>
      <color indexed="18"/>
      <name val="Arial Baltic"/>
      <family val="2"/>
      <charset val="186"/>
    </font>
    <font>
      <b/>
      <sz val="10"/>
      <color indexed="10"/>
      <name val="Arial Baltic"/>
      <family val="2"/>
      <charset val="186"/>
    </font>
    <font>
      <b/>
      <sz val="10"/>
      <color indexed="62"/>
      <name val="Arial Baltic"/>
      <family val="2"/>
      <charset val="186"/>
    </font>
    <font>
      <b/>
      <sz val="12"/>
      <name val="Comic Sans MS"/>
      <family val="4"/>
    </font>
    <font>
      <sz val="10"/>
      <color indexed="18"/>
      <name val="Arial Baltic"/>
      <family val="2"/>
      <charset val="186"/>
    </font>
    <font>
      <b/>
      <sz val="11"/>
      <color indexed="10"/>
      <name val="Arial Baltic"/>
      <family val="2"/>
      <charset val="186"/>
    </font>
    <font>
      <b/>
      <sz val="11"/>
      <color indexed="62"/>
      <name val="Arial Baltic"/>
      <family val="2"/>
      <charset val="186"/>
    </font>
    <font>
      <b/>
      <sz val="11"/>
      <color indexed="8"/>
      <name val="Arial Baltic"/>
      <family val="2"/>
      <charset val="186"/>
    </font>
    <font>
      <b/>
      <sz val="10"/>
      <color indexed="1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 Baltic"/>
      <family val="2"/>
      <charset val="186"/>
    </font>
    <font>
      <b/>
      <i/>
      <u/>
      <sz val="10"/>
      <color indexed="18"/>
      <name val="Arial"/>
      <family val="2"/>
    </font>
    <font>
      <b/>
      <sz val="11"/>
      <color indexed="18"/>
      <name val="Arial"/>
      <family val="2"/>
    </font>
    <font>
      <sz val="10"/>
      <color indexed="59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b/>
      <sz val="11"/>
      <color indexed="8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b/>
      <vertAlign val="superscript"/>
      <sz val="10"/>
      <color indexed="10"/>
      <name val="Arial Baltic"/>
    </font>
    <font>
      <b/>
      <sz val="10"/>
      <color indexed="10"/>
      <name val="Arial Baltic"/>
    </font>
    <font>
      <b/>
      <vertAlign val="superscript"/>
      <sz val="10"/>
      <name val="Arial Baltic"/>
      <family val="2"/>
      <charset val="186"/>
    </font>
    <font>
      <b/>
      <sz val="10"/>
      <color theme="3"/>
      <name val="Arial Baltic"/>
      <family val="2"/>
      <charset val="186"/>
    </font>
    <font>
      <b/>
      <vertAlign val="superscript"/>
      <sz val="10"/>
      <color theme="3"/>
      <name val="Arial Baltic"/>
      <family val="2"/>
      <charset val="186"/>
    </font>
    <font>
      <sz val="10"/>
      <color indexed="8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indexed="62"/>
      <name val="Arial"/>
      <family val="2"/>
      <charset val="204"/>
    </font>
    <font>
      <b/>
      <sz val="12"/>
      <color indexed="8"/>
      <name val="Comic Sans MS"/>
      <family val="4"/>
    </font>
    <font>
      <sz val="10"/>
      <color theme="3"/>
      <name val="Arial"/>
      <family val="2"/>
      <charset val="204"/>
    </font>
    <font>
      <b/>
      <sz val="12"/>
      <color indexed="8"/>
      <name val="Arial"/>
      <family val="2"/>
      <charset val="204"/>
    </font>
    <font>
      <sz val="10"/>
      <color theme="4" tint="-0.24994659260841701"/>
      <name val="Arial"/>
      <family val="2"/>
      <charset val="204"/>
    </font>
    <font>
      <b/>
      <sz val="10"/>
      <color indexed="8"/>
      <name val="Arial"/>
      <family val="2"/>
      <charset val="204"/>
    </font>
    <font>
      <sz val="12"/>
      <color rgb="FFFF0000"/>
      <name val="Arial Baltic"/>
      <family val="2"/>
      <charset val="186"/>
    </font>
    <font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36" fillId="0" borderId="0"/>
  </cellStyleXfs>
  <cellXfs count="178">
    <xf numFmtId="0" fontId="0" fillId="0" borderId="0" xfId="0"/>
    <xf numFmtId="0" fontId="2" fillId="0" borderId="0" xfId="2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9" fontId="5" fillId="0" borderId="0" xfId="1" applyFont="1" applyAlignment="1" applyProtection="1">
      <protection hidden="1"/>
    </xf>
    <xf numFmtId="0" fontId="8" fillId="0" borderId="0" xfId="2" applyFont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2" borderId="2" xfId="0" applyFont="1" applyFill="1" applyBorder="1" applyAlignment="1" applyProtection="1">
      <alignment horizontal="center" vertical="center"/>
      <protection locked="0"/>
    </xf>
    <xf numFmtId="3" fontId="10" fillId="2" borderId="2" xfId="0" applyNumberFormat="1" applyFont="1" applyFill="1" applyBorder="1" applyAlignment="1" applyProtection="1">
      <alignment vertical="center"/>
      <protection locked="0"/>
    </xf>
    <xf numFmtId="9" fontId="11" fillId="0" borderId="2" xfId="1" applyFont="1" applyBorder="1" applyAlignment="1" applyProtection="1">
      <alignment vertical="center"/>
      <protection hidden="1"/>
    </xf>
    <xf numFmtId="0" fontId="11" fillId="0" borderId="2" xfId="0" applyFont="1" applyBorder="1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vertical="center"/>
      <protection hidden="1"/>
    </xf>
    <xf numFmtId="0" fontId="15" fillId="0" borderId="9" xfId="0" applyFont="1" applyBorder="1" applyAlignment="1" applyProtection="1">
      <alignment horizontal="center"/>
      <protection hidden="1"/>
    </xf>
    <xf numFmtId="0" fontId="15" fillId="0" borderId="0" xfId="0" applyFont="1" applyProtection="1">
      <protection hidden="1"/>
    </xf>
    <xf numFmtId="0" fontId="21" fillId="0" borderId="0" xfId="0" applyFont="1" applyAlignment="1" applyProtection="1">
      <alignment horizontal="center"/>
      <protection hidden="1"/>
    </xf>
    <xf numFmtId="0" fontId="15" fillId="0" borderId="0" xfId="0" applyFont="1" applyAlignment="1" applyProtection="1">
      <alignment horizontal="center"/>
      <protection hidden="1"/>
    </xf>
    <xf numFmtId="0" fontId="2" fillId="0" borderId="9" xfId="0" applyFont="1" applyBorder="1" applyAlignment="1" applyProtection="1">
      <alignment horizontal="center"/>
      <protection hidden="1"/>
    </xf>
    <xf numFmtId="1" fontId="2" fillId="0" borderId="0" xfId="0" applyNumberFormat="1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1" fontId="2" fillId="0" borderId="0" xfId="0" applyNumberFormat="1" applyFont="1" applyAlignment="1" applyProtection="1">
      <alignment horizontal="center"/>
      <protection hidden="1"/>
    </xf>
    <xf numFmtId="1" fontId="28" fillId="0" borderId="0" xfId="0" applyNumberFormat="1" applyFont="1" applyAlignment="1" applyProtection="1">
      <alignment horizontal="center"/>
      <protection hidden="1"/>
    </xf>
    <xf numFmtId="1" fontId="30" fillId="0" borderId="0" xfId="0" applyNumberFormat="1" applyFont="1" applyAlignment="1" applyProtection="1">
      <alignment horizontal="center"/>
      <protection hidden="1"/>
    </xf>
    <xf numFmtId="3" fontId="16" fillId="0" borderId="10" xfId="0" applyNumberFormat="1" applyFont="1" applyBorder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1" fontId="2" fillId="0" borderId="13" xfId="0" applyNumberFormat="1" applyFont="1" applyBorder="1" applyProtection="1">
      <protection hidden="1"/>
    </xf>
    <xf numFmtId="0" fontId="25" fillId="0" borderId="13" xfId="0" applyFont="1" applyBorder="1" applyAlignment="1" applyProtection="1">
      <alignment horizontal="center"/>
      <protection hidden="1"/>
    </xf>
    <xf numFmtId="1" fontId="2" fillId="0" borderId="13" xfId="0" applyNumberFormat="1" applyFont="1" applyBorder="1" applyAlignment="1" applyProtection="1">
      <alignment horizontal="center"/>
      <protection hidden="1"/>
    </xf>
    <xf numFmtId="1" fontId="28" fillId="0" borderId="13" xfId="0" applyNumberFormat="1" applyFont="1" applyBorder="1" applyAlignment="1" applyProtection="1">
      <alignment horizontal="center"/>
      <protection hidden="1"/>
    </xf>
    <xf numFmtId="1" fontId="30" fillId="0" borderId="13" xfId="0" applyNumberFormat="1" applyFont="1" applyBorder="1" applyAlignment="1" applyProtection="1">
      <alignment horizontal="center"/>
      <protection hidden="1"/>
    </xf>
    <xf numFmtId="0" fontId="33" fillId="0" borderId="0" xfId="2" applyFont="1" applyAlignment="1" applyProtection="1">
      <alignment horizontal="center"/>
      <protection hidden="1"/>
    </xf>
    <xf numFmtId="3" fontId="34" fillId="0" borderId="0" xfId="2" applyNumberFormat="1" applyFont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1" fontId="2" fillId="0" borderId="17" xfId="0" applyNumberFormat="1" applyFont="1" applyBorder="1" applyProtection="1">
      <protection hidden="1"/>
    </xf>
    <xf numFmtId="0" fontId="25" fillId="0" borderId="17" xfId="0" applyFont="1" applyBorder="1" applyAlignment="1" applyProtection="1">
      <alignment horizontal="center"/>
      <protection hidden="1"/>
    </xf>
    <xf numFmtId="1" fontId="2" fillId="0" borderId="17" xfId="0" applyNumberFormat="1" applyFont="1" applyBorder="1" applyAlignment="1" applyProtection="1">
      <alignment horizontal="center"/>
      <protection hidden="1"/>
    </xf>
    <xf numFmtId="1" fontId="28" fillId="0" borderId="17" xfId="0" applyNumberFormat="1" applyFont="1" applyBorder="1" applyAlignment="1" applyProtection="1">
      <alignment horizontal="center"/>
      <protection hidden="1"/>
    </xf>
    <xf numFmtId="1" fontId="30" fillId="0" borderId="17" xfId="0" applyNumberFormat="1" applyFont="1" applyBorder="1" applyAlignment="1" applyProtection="1">
      <alignment horizontal="center"/>
      <protection hidden="1"/>
    </xf>
    <xf numFmtId="1" fontId="26" fillId="0" borderId="0" xfId="0" applyNumberFormat="1" applyFont="1" applyProtection="1">
      <protection hidden="1"/>
    </xf>
    <xf numFmtId="1" fontId="35" fillId="0" borderId="0" xfId="0" applyNumberFormat="1" applyFont="1" applyProtection="1">
      <protection hidden="1"/>
    </xf>
    <xf numFmtId="1" fontId="30" fillId="0" borderId="0" xfId="0" applyNumberFormat="1" applyFont="1" applyProtection="1"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14" fillId="3" borderId="5" xfId="0" applyFont="1" applyFill="1" applyBorder="1" applyAlignment="1" applyProtection="1">
      <alignment horizontal="center" vertical="justify"/>
      <protection hidden="1"/>
    </xf>
    <xf numFmtId="0" fontId="37" fillId="0" borderId="0" xfId="0" applyFont="1"/>
    <xf numFmtId="0" fontId="30" fillId="0" borderId="0" xfId="0" applyFont="1" applyProtection="1">
      <protection hidden="1"/>
    </xf>
    <xf numFmtId="0" fontId="38" fillId="0" borderId="4" xfId="0" applyFont="1" applyBorder="1" applyAlignment="1" applyProtection="1">
      <alignment horizontal="center" vertical="justify"/>
      <protection hidden="1"/>
    </xf>
    <xf numFmtId="0" fontId="38" fillId="0" borderId="4" xfId="0" applyFont="1" applyBorder="1" applyAlignment="1" applyProtection="1">
      <alignment horizontal="center"/>
      <protection hidden="1"/>
    </xf>
    <xf numFmtId="0" fontId="39" fillId="0" borderId="0" xfId="0" applyFont="1"/>
    <xf numFmtId="0" fontId="40" fillId="0" borderId="0" xfId="0" applyFont="1"/>
    <xf numFmtId="0" fontId="41" fillId="0" borderId="0" xfId="0" applyFont="1"/>
    <xf numFmtId="164" fontId="27" fillId="0" borderId="11" xfId="0" applyNumberFormat="1" applyFont="1" applyBorder="1" applyAlignment="1" applyProtection="1">
      <alignment horizontal="center"/>
      <protection hidden="1"/>
    </xf>
    <xf numFmtId="164" fontId="27" fillId="0" borderId="15" xfId="0" applyNumberFormat="1" applyFont="1" applyBorder="1" applyAlignment="1" applyProtection="1">
      <alignment horizontal="center"/>
      <protection hidden="1"/>
    </xf>
    <xf numFmtId="164" fontId="27" fillId="0" borderId="19" xfId="0" applyNumberFormat="1" applyFont="1" applyBorder="1" applyAlignment="1" applyProtection="1">
      <alignment horizontal="center"/>
      <protection hidden="1"/>
    </xf>
    <xf numFmtId="164" fontId="29" fillId="0" borderId="11" xfId="0" applyNumberFormat="1" applyFont="1" applyBorder="1" applyAlignment="1" applyProtection="1">
      <alignment horizontal="center"/>
      <protection hidden="1"/>
    </xf>
    <xf numFmtId="164" fontId="29" fillId="0" borderId="15" xfId="0" applyNumberFormat="1" applyFont="1" applyBorder="1" applyAlignment="1" applyProtection="1">
      <alignment horizontal="center"/>
      <protection hidden="1"/>
    </xf>
    <xf numFmtId="164" fontId="29" fillId="0" borderId="19" xfId="0" applyNumberFormat="1" applyFont="1" applyBorder="1" applyAlignment="1" applyProtection="1">
      <alignment horizontal="center"/>
      <protection hidden="1"/>
    </xf>
    <xf numFmtId="164" fontId="31" fillId="0" borderId="11" xfId="0" applyNumberFormat="1" applyFont="1" applyBorder="1" applyAlignment="1" applyProtection="1">
      <alignment horizontal="center"/>
      <protection hidden="1"/>
    </xf>
    <xf numFmtId="164" fontId="31" fillId="0" borderId="15" xfId="0" applyNumberFormat="1" applyFont="1" applyBorder="1" applyAlignment="1" applyProtection="1">
      <alignment horizontal="center"/>
      <protection hidden="1"/>
    </xf>
    <xf numFmtId="164" fontId="31" fillId="0" borderId="19" xfId="0" applyNumberFormat="1" applyFont="1" applyBorder="1" applyAlignment="1" applyProtection="1">
      <alignment horizontal="center"/>
      <protection hidden="1"/>
    </xf>
    <xf numFmtId="17" fontId="2" fillId="0" borderId="0" xfId="0" applyNumberFormat="1" applyFont="1" applyProtection="1">
      <protection hidden="1"/>
    </xf>
    <xf numFmtId="3" fontId="12" fillId="2" borderId="0" xfId="0" applyNumberFormat="1" applyFont="1" applyFill="1" applyAlignment="1" applyProtection="1">
      <alignment horizontal="center" vertical="center"/>
      <protection locked="0"/>
    </xf>
    <xf numFmtId="0" fontId="47" fillId="0" borderId="0" xfId="0" applyFont="1" applyProtection="1">
      <protection hidden="1"/>
    </xf>
    <xf numFmtId="2" fontId="48" fillId="0" borderId="0" xfId="0" applyNumberFormat="1" applyFont="1" applyProtection="1">
      <protection hidden="1"/>
    </xf>
    <xf numFmtId="2" fontId="2" fillId="0" borderId="0" xfId="0" applyNumberFormat="1" applyFont="1" applyProtection="1">
      <protection hidden="1"/>
    </xf>
    <xf numFmtId="1" fontId="48" fillId="0" borderId="11" xfId="0" applyNumberFormat="1" applyFont="1" applyBorder="1" applyAlignment="1" applyProtection="1">
      <alignment horizontal="center"/>
      <protection hidden="1"/>
    </xf>
    <xf numFmtId="165" fontId="48" fillId="0" borderId="11" xfId="0" applyNumberFormat="1" applyFont="1" applyBorder="1" applyAlignment="1" applyProtection="1">
      <alignment horizontal="center"/>
      <protection hidden="1"/>
    </xf>
    <xf numFmtId="1" fontId="48" fillId="0" borderId="15" xfId="0" applyNumberFormat="1" applyFont="1" applyBorder="1" applyAlignment="1" applyProtection="1">
      <alignment horizontal="center"/>
      <protection hidden="1"/>
    </xf>
    <xf numFmtId="165" fontId="48" fillId="0" borderId="15" xfId="0" applyNumberFormat="1" applyFont="1" applyBorder="1" applyAlignment="1" applyProtection="1">
      <alignment horizontal="center"/>
      <protection hidden="1"/>
    </xf>
    <xf numFmtId="3" fontId="16" fillId="0" borderId="4" xfId="0" applyNumberFormat="1" applyFont="1" applyBorder="1" applyAlignment="1" applyProtection="1">
      <alignment horizontal="center"/>
      <protection hidden="1"/>
    </xf>
    <xf numFmtId="3" fontId="16" fillId="0" borderId="14" xfId="0" applyNumberFormat="1" applyFont="1" applyBorder="1" applyAlignment="1" applyProtection="1">
      <alignment horizontal="center"/>
      <protection hidden="1"/>
    </xf>
    <xf numFmtId="3" fontId="16" fillId="0" borderId="18" xfId="0" applyNumberFormat="1" applyFont="1" applyBorder="1" applyAlignment="1" applyProtection="1">
      <alignment horizontal="center"/>
      <protection hidden="1"/>
    </xf>
    <xf numFmtId="164" fontId="32" fillId="0" borderId="11" xfId="0" applyNumberFormat="1" applyFont="1" applyBorder="1" applyAlignment="1" applyProtection="1">
      <alignment horizontal="center"/>
      <protection hidden="1"/>
    </xf>
    <xf numFmtId="164" fontId="32" fillId="0" borderId="15" xfId="0" applyNumberFormat="1" applyFont="1" applyBorder="1" applyAlignment="1" applyProtection="1">
      <alignment horizontal="center"/>
      <protection hidden="1"/>
    </xf>
    <xf numFmtId="164" fontId="32" fillId="0" borderId="19" xfId="0" applyNumberFormat="1" applyFont="1" applyBorder="1" applyAlignment="1" applyProtection="1">
      <alignment horizontal="center"/>
      <protection hidden="1"/>
    </xf>
    <xf numFmtId="1" fontId="48" fillId="0" borderId="19" xfId="0" applyNumberFormat="1" applyFont="1" applyBorder="1" applyAlignment="1" applyProtection="1">
      <alignment horizontal="center"/>
      <protection hidden="1"/>
    </xf>
    <xf numFmtId="165" fontId="48" fillId="0" borderId="19" xfId="0" applyNumberFormat="1" applyFont="1" applyBorder="1" applyAlignment="1" applyProtection="1">
      <alignment horizontal="center"/>
      <protection hidden="1"/>
    </xf>
    <xf numFmtId="0" fontId="47" fillId="0" borderId="0" xfId="0" applyFont="1" applyAlignment="1" applyProtection="1">
      <alignment horizontal="center" wrapText="1"/>
      <protection hidden="1"/>
    </xf>
    <xf numFmtId="2" fontId="49" fillId="0" borderId="11" xfId="0" applyNumberFormat="1" applyFont="1" applyBorder="1" applyAlignment="1" applyProtection="1">
      <alignment horizontal="center"/>
      <protection hidden="1"/>
    </xf>
    <xf numFmtId="2" fontId="49" fillId="0" borderId="15" xfId="0" applyNumberFormat="1" applyFont="1" applyBorder="1" applyAlignment="1" applyProtection="1">
      <alignment horizontal="center"/>
      <protection hidden="1"/>
    </xf>
    <xf numFmtId="2" fontId="49" fillId="0" borderId="19" xfId="0" applyNumberFormat="1" applyFont="1" applyBorder="1" applyAlignment="1" applyProtection="1">
      <alignment horizontal="center"/>
      <protection hidden="1"/>
    </xf>
    <xf numFmtId="165" fontId="30" fillId="0" borderId="11" xfId="0" applyNumberFormat="1" applyFont="1" applyBorder="1" applyAlignment="1" applyProtection="1">
      <alignment horizontal="center"/>
      <protection hidden="1"/>
    </xf>
    <xf numFmtId="165" fontId="30" fillId="0" borderId="15" xfId="0" applyNumberFormat="1" applyFont="1" applyBorder="1" applyAlignment="1" applyProtection="1">
      <alignment horizontal="center"/>
      <protection hidden="1"/>
    </xf>
    <xf numFmtId="165" fontId="30" fillId="0" borderId="19" xfId="0" applyNumberFormat="1" applyFont="1" applyBorder="1" applyAlignment="1" applyProtection="1">
      <alignment horizontal="center"/>
      <protection hidden="1"/>
    </xf>
    <xf numFmtId="0" fontId="52" fillId="4" borderId="20" xfId="0" applyFont="1" applyFill="1" applyBorder="1" applyProtection="1">
      <protection hidden="1"/>
    </xf>
    <xf numFmtId="0" fontId="47" fillId="0" borderId="21" xfId="0" applyFont="1" applyBorder="1" applyProtection="1">
      <protection hidden="1"/>
    </xf>
    <xf numFmtId="0" fontId="47" fillId="0" borderId="20" xfId="0" applyFont="1" applyBorder="1" applyProtection="1">
      <protection hidden="1"/>
    </xf>
    <xf numFmtId="0" fontId="2" fillId="0" borderId="23" xfId="0" applyFont="1" applyBorder="1" applyProtection="1">
      <protection hidden="1"/>
    </xf>
    <xf numFmtId="0" fontId="2" fillId="0" borderId="24" xfId="0" applyFont="1" applyBorder="1" applyProtection="1">
      <protection hidden="1"/>
    </xf>
    <xf numFmtId="0" fontId="47" fillId="0" borderId="22" xfId="0" applyFont="1" applyBorder="1" applyProtection="1">
      <protection hidden="1"/>
    </xf>
    <xf numFmtId="0" fontId="2" fillId="0" borderId="25" xfId="0" applyFont="1" applyBorder="1" applyProtection="1">
      <protection hidden="1"/>
    </xf>
    <xf numFmtId="2" fontId="48" fillId="0" borderId="15" xfId="0" applyNumberFormat="1" applyFont="1" applyBorder="1" applyProtection="1">
      <protection hidden="1"/>
    </xf>
    <xf numFmtId="2" fontId="48" fillId="0" borderId="19" xfId="0" applyNumberFormat="1" applyFont="1" applyBorder="1" applyProtection="1">
      <protection hidden="1"/>
    </xf>
    <xf numFmtId="0" fontId="11" fillId="0" borderId="4" xfId="0" applyFont="1" applyBorder="1" applyAlignment="1" applyProtection="1">
      <alignment horizontal="center"/>
      <protection hidden="1"/>
    </xf>
    <xf numFmtId="0" fontId="22" fillId="2" borderId="26" xfId="0" applyFont="1" applyFill="1" applyBorder="1" applyAlignment="1" applyProtection="1">
      <alignment horizontal="center"/>
      <protection locked="0"/>
    </xf>
    <xf numFmtId="165" fontId="51" fillId="0" borderId="11" xfId="0" applyNumberFormat="1" applyFont="1" applyBorder="1" applyAlignment="1" applyProtection="1">
      <alignment horizontal="center"/>
      <protection hidden="1"/>
    </xf>
    <xf numFmtId="0" fontId="23" fillId="2" borderId="26" xfId="0" applyFont="1" applyFill="1" applyBorder="1" applyAlignment="1" applyProtection="1">
      <alignment horizontal="center"/>
      <protection locked="0"/>
    </xf>
    <xf numFmtId="2" fontId="53" fillId="0" borderId="0" xfId="0" applyNumberFormat="1" applyFont="1" applyProtection="1">
      <protection hidden="1"/>
    </xf>
    <xf numFmtId="2" fontId="53" fillId="0" borderId="15" xfId="0" applyNumberFormat="1" applyFont="1" applyBorder="1" applyProtection="1">
      <protection hidden="1"/>
    </xf>
    <xf numFmtId="2" fontId="53" fillId="0" borderId="19" xfId="0" applyNumberFormat="1" applyFont="1" applyBorder="1" applyProtection="1">
      <protection hidden="1"/>
    </xf>
    <xf numFmtId="2" fontId="2" fillId="0" borderId="15" xfId="0" applyNumberFormat="1" applyFont="1" applyBorder="1" applyProtection="1">
      <protection hidden="1"/>
    </xf>
    <xf numFmtId="2" fontId="2" fillId="0" borderId="19" xfId="0" applyNumberFormat="1" applyFont="1" applyBorder="1" applyProtection="1">
      <protection hidden="1"/>
    </xf>
    <xf numFmtId="0" fontId="11" fillId="0" borderId="11" xfId="0" applyFont="1" applyBorder="1" applyAlignment="1" applyProtection="1">
      <alignment horizontal="center"/>
      <protection hidden="1"/>
    </xf>
    <xf numFmtId="9" fontId="16" fillId="0" borderId="11" xfId="0" applyNumberFormat="1" applyFont="1" applyBorder="1" applyAlignment="1" applyProtection="1">
      <alignment horizontal="center"/>
      <protection hidden="1"/>
    </xf>
    <xf numFmtId="3" fontId="16" fillId="0" borderId="11" xfId="0" applyNumberFormat="1" applyFont="1" applyBorder="1" applyAlignment="1" applyProtection="1">
      <alignment horizontal="center"/>
      <protection hidden="1"/>
    </xf>
    <xf numFmtId="0" fontId="47" fillId="0" borderId="0" xfId="0" applyFont="1" applyAlignment="1" applyProtection="1">
      <alignment wrapText="1"/>
      <protection hidden="1"/>
    </xf>
    <xf numFmtId="0" fontId="40" fillId="0" borderId="0" xfId="0" quotePrefix="1" applyFont="1"/>
    <xf numFmtId="165" fontId="39" fillId="0" borderId="11" xfId="0" applyNumberFormat="1" applyFont="1" applyBorder="1" applyAlignment="1" applyProtection="1">
      <alignment horizontal="center"/>
      <protection hidden="1"/>
    </xf>
    <xf numFmtId="0" fontId="24" fillId="2" borderId="26" xfId="0" applyFont="1" applyFill="1" applyBorder="1" applyAlignment="1" applyProtection="1">
      <alignment horizontal="center"/>
      <protection locked="0"/>
    </xf>
    <xf numFmtId="0" fontId="8" fillId="4" borderId="26" xfId="0" applyFont="1" applyFill="1" applyBorder="1" applyAlignment="1" applyProtection="1">
      <alignment vertical="center"/>
      <protection hidden="1"/>
    </xf>
    <xf numFmtId="9" fontId="16" fillId="4" borderId="26" xfId="0" applyNumberFormat="1" applyFont="1" applyFill="1" applyBorder="1" applyAlignment="1" applyProtection="1">
      <alignment horizontal="center"/>
      <protection hidden="1"/>
    </xf>
    <xf numFmtId="0" fontId="11" fillId="3" borderId="34" xfId="0" applyFont="1" applyFill="1" applyBorder="1" applyAlignment="1" applyProtection="1">
      <alignment horizontal="center"/>
      <protection hidden="1"/>
    </xf>
    <xf numFmtId="0" fontId="48" fillId="0" borderId="0" xfId="0" applyFont="1" applyProtection="1">
      <protection hidden="1"/>
    </xf>
    <xf numFmtId="0" fontId="55" fillId="0" borderId="0" xfId="0" applyFont="1" applyAlignment="1" applyProtection="1">
      <alignment vertical="center"/>
      <protection hidden="1"/>
    </xf>
    <xf numFmtId="0" fontId="56" fillId="0" borderId="0" xfId="0" applyFont="1" applyProtection="1"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0" fontId="54" fillId="0" borderId="6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center" vertical="center"/>
      <protection hidden="1"/>
    </xf>
    <xf numFmtId="0" fontId="0" fillId="0" borderId="0" xfId="0" quotePrefix="1"/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22" fillId="2" borderId="6" xfId="0" applyFont="1" applyFill="1" applyBorder="1" applyAlignment="1" applyProtection="1">
      <alignment horizontal="center"/>
      <protection locked="0"/>
    </xf>
    <xf numFmtId="0" fontId="22" fillId="2" borderId="7" xfId="0" applyFont="1" applyFill="1" applyBorder="1" applyAlignment="1" applyProtection="1">
      <alignment horizontal="center"/>
      <protection locked="0"/>
    </xf>
    <xf numFmtId="0" fontId="22" fillId="2" borderId="8" xfId="0" applyFont="1" applyFill="1" applyBorder="1" applyAlignment="1" applyProtection="1">
      <alignment horizontal="center"/>
      <protection locked="0"/>
    </xf>
    <xf numFmtId="0" fontId="23" fillId="2" borderId="6" xfId="0" applyFont="1" applyFill="1" applyBorder="1" applyAlignment="1" applyProtection="1">
      <alignment horizontal="center"/>
      <protection locked="0"/>
    </xf>
    <xf numFmtId="0" fontId="23" fillId="2" borderId="7" xfId="0" applyFont="1" applyFill="1" applyBorder="1" applyAlignment="1" applyProtection="1">
      <alignment horizontal="center"/>
      <protection locked="0"/>
    </xf>
    <xf numFmtId="0" fontId="23" fillId="2" borderId="8" xfId="0" applyFont="1" applyFill="1" applyBorder="1" applyAlignment="1" applyProtection="1">
      <alignment horizontal="center"/>
      <protection locked="0"/>
    </xf>
    <xf numFmtId="0" fontId="24" fillId="2" borderId="6" xfId="0" applyFont="1" applyFill="1" applyBorder="1" applyAlignment="1" applyProtection="1">
      <alignment horizontal="center"/>
      <protection locked="0"/>
    </xf>
    <xf numFmtId="0" fontId="24" fillId="2" borderId="7" xfId="0" applyFont="1" applyFill="1" applyBorder="1" applyAlignment="1" applyProtection="1">
      <alignment horizontal="center"/>
      <protection locked="0"/>
    </xf>
    <xf numFmtId="0" fontId="24" fillId="2" borderId="8" xfId="0" applyFont="1" applyFill="1" applyBorder="1" applyAlignment="1" applyProtection="1">
      <alignment horizontal="center"/>
      <protection locked="0"/>
    </xf>
    <xf numFmtId="0" fontId="50" fillId="3" borderId="4" xfId="0" applyFont="1" applyFill="1" applyBorder="1" applyAlignment="1" applyProtection="1">
      <alignment horizontal="center" vertical="justify"/>
      <protection hidden="1"/>
    </xf>
    <xf numFmtId="0" fontId="20" fillId="2" borderId="35" xfId="0" applyFont="1" applyFill="1" applyBorder="1" applyAlignment="1" applyProtection="1">
      <alignment horizontal="center" vertical="center" wrapText="1"/>
      <protection locked="0"/>
    </xf>
    <xf numFmtId="0" fontId="20" fillId="2" borderId="36" xfId="0" applyFont="1" applyFill="1" applyBorder="1" applyAlignment="1" applyProtection="1">
      <alignment horizontal="center" vertical="center" wrapText="1"/>
      <protection locked="0"/>
    </xf>
    <xf numFmtId="0" fontId="20" fillId="2" borderId="37" xfId="0" applyFont="1" applyFill="1" applyBorder="1" applyAlignment="1" applyProtection="1">
      <alignment horizontal="center" vertical="center" wrapText="1"/>
      <protection locked="0"/>
    </xf>
    <xf numFmtId="3" fontId="12" fillId="2" borderId="1" xfId="0" applyNumberFormat="1" applyFont="1" applyFill="1" applyBorder="1" applyAlignment="1" applyProtection="1">
      <alignment horizontal="center" vertical="center"/>
      <protection locked="0"/>
    </xf>
    <xf numFmtId="3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/>
      <protection hidden="1"/>
    </xf>
    <xf numFmtId="0" fontId="18" fillId="0" borderId="1" xfId="0" applyFont="1" applyBorder="1" applyAlignment="1" applyProtection="1">
      <alignment horizontal="right" wrapText="1"/>
      <protection hidden="1"/>
    </xf>
    <xf numFmtId="0" fontId="18" fillId="0" borderId="2" xfId="0" applyFont="1" applyBorder="1" applyAlignment="1" applyProtection="1">
      <alignment horizontal="right" wrapText="1"/>
      <protection hidden="1"/>
    </xf>
    <xf numFmtId="0" fontId="18" fillId="0" borderId="3" xfId="0" applyFont="1" applyBorder="1" applyAlignment="1" applyProtection="1">
      <alignment horizontal="right" wrapText="1"/>
      <protection hidden="1"/>
    </xf>
    <xf numFmtId="0" fontId="45" fillId="0" borderId="1" xfId="0" applyFont="1" applyBorder="1" applyAlignment="1" applyProtection="1">
      <alignment horizontal="right" wrapText="1"/>
      <protection hidden="1"/>
    </xf>
    <xf numFmtId="0" fontId="45" fillId="0" borderId="2" xfId="0" applyFont="1" applyBorder="1" applyAlignment="1" applyProtection="1">
      <alignment horizontal="right" wrapText="1"/>
      <protection hidden="1"/>
    </xf>
    <xf numFmtId="0" fontId="45" fillId="0" borderId="3" xfId="0" applyFont="1" applyBorder="1" applyAlignment="1" applyProtection="1">
      <alignment horizontal="right" wrapText="1"/>
      <protection hidden="1"/>
    </xf>
    <xf numFmtId="0" fontId="32" fillId="0" borderId="1" xfId="0" applyFont="1" applyBorder="1" applyAlignment="1" applyProtection="1">
      <alignment horizontal="right" wrapText="1"/>
      <protection hidden="1"/>
    </xf>
    <xf numFmtId="0" fontId="32" fillId="0" borderId="2" xfId="0" applyFont="1" applyBorder="1" applyAlignment="1" applyProtection="1">
      <alignment horizontal="right" wrapText="1"/>
      <protection hidden="1"/>
    </xf>
    <xf numFmtId="0" fontId="32" fillId="0" borderId="3" xfId="0" applyFont="1" applyBorder="1" applyAlignment="1" applyProtection="1">
      <alignment horizontal="right" wrapText="1"/>
      <protection hidden="1"/>
    </xf>
    <xf numFmtId="0" fontId="18" fillId="0" borderId="6" xfId="0" applyFont="1" applyBorder="1" applyAlignment="1" applyProtection="1">
      <alignment horizontal="right" wrapText="1"/>
      <protection hidden="1"/>
    </xf>
    <xf numFmtId="0" fontId="18" fillId="0" borderId="7" xfId="0" applyFont="1" applyBorder="1" applyAlignment="1" applyProtection="1">
      <alignment horizontal="right" wrapText="1"/>
      <protection hidden="1"/>
    </xf>
    <xf numFmtId="0" fontId="18" fillId="0" borderId="8" xfId="0" applyFont="1" applyBorder="1" applyAlignment="1" applyProtection="1">
      <alignment horizontal="right" wrapText="1"/>
      <protection hidden="1"/>
    </xf>
    <xf numFmtId="0" fontId="19" fillId="0" borderId="6" xfId="0" applyFont="1" applyBorder="1" applyAlignment="1" applyProtection="1">
      <alignment horizontal="center"/>
      <protection hidden="1"/>
    </xf>
    <xf numFmtId="0" fontId="19" fillId="0" borderId="7" xfId="0" applyFont="1" applyBorder="1" applyAlignment="1" applyProtection="1">
      <alignment horizontal="center"/>
      <protection hidden="1"/>
    </xf>
    <xf numFmtId="0" fontId="19" fillId="0" borderId="8" xfId="0" applyFont="1" applyBorder="1" applyAlignment="1" applyProtection="1">
      <alignment horizontal="center"/>
      <protection hidden="1"/>
    </xf>
    <xf numFmtId="0" fontId="16" fillId="0" borderId="6" xfId="0" applyFont="1" applyBorder="1" applyAlignment="1" applyProtection="1">
      <alignment horizontal="left"/>
      <protection hidden="1"/>
    </xf>
    <xf numFmtId="0" fontId="16" fillId="0" borderId="7" xfId="0" applyFont="1" applyBorder="1" applyAlignment="1" applyProtection="1">
      <alignment horizontal="left"/>
      <protection hidden="1"/>
    </xf>
    <xf numFmtId="0" fontId="16" fillId="0" borderId="8" xfId="0" applyFont="1" applyBorder="1" applyAlignment="1" applyProtection="1">
      <alignment horizontal="left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7" xfId="0" applyFont="1" applyBorder="1" applyAlignment="1" applyProtection="1">
      <alignment horizontal="center" vertical="center" wrapText="1"/>
      <protection hidden="1"/>
    </xf>
    <xf numFmtId="0" fontId="37" fillId="0" borderId="7" xfId="0" applyFont="1" applyBorder="1" applyAlignment="1">
      <alignment horizontal="center" vertical="center" wrapText="1"/>
    </xf>
    <xf numFmtId="0" fontId="47" fillId="0" borderId="27" xfId="0" applyFont="1" applyBorder="1" applyProtection="1">
      <protection hidden="1"/>
    </xf>
    <xf numFmtId="0" fontId="0" fillId="0" borderId="28" xfId="0" applyBorder="1"/>
    <xf numFmtId="0" fontId="0" fillId="0" borderId="29" xfId="0" applyBorder="1"/>
    <xf numFmtId="0" fontId="47" fillId="0" borderId="14" xfId="0" applyFont="1" applyBorder="1" applyProtection="1">
      <protection hidden="1"/>
    </xf>
    <xf numFmtId="0" fontId="0" fillId="0" borderId="13" xfId="0" applyBorder="1"/>
    <xf numFmtId="0" fontId="0" fillId="0" borderId="30" xfId="0" applyBorder="1"/>
    <xf numFmtId="0" fontId="47" fillId="0" borderId="31" xfId="0" applyFont="1" applyBorder="1" applyProtection="1">
      <protection hidden="1"/>
    </xf>
    <xf numFmtId="0" fontId="0" fillId="0" borderId="32" xfId="0" applyBorder="1"/>
    <xf numFmtId="0" fontId="0" fillId="0" borderId="33" xfId="0" applyBorder="1"/>
    <xf numFmtId="0" fontId="5" fillId="0" borderId="0" xfId="0" applyFont="1" applyProtection="1">
      <protection hidden="1"/>
    </xf>
    <xf numFmtId="9" fontId="5" fillId="0" borderId="0" xfId="1" applyFont="1" applyAlignment="1" applyProtection="1">
      <protection hidden="1"/>
    </xf>
  </cellXfs>
  <cellStyles count="4">
    <cellStyle name="Обычный" xfId="0" builtinId="0"/>
    <cellStyle name="Процентный" xfId="1" builtinId="5"/>
    <cellStyle name="Normal_artikelen met stat.groep verkoop 2004 JJA" xfId="3" xr:uid="{00000000-0005-0000-0000-000000000000}"/>
    <cellStyle name="Standaard_VentilatieF38_Dijken" xfId="2" xr:uid="{00000000-0005-0000-0000-000001000000}"/>
  </cellStyles>
  <dxfs count="2">
    <dxf>
      <font>
        <condense val="0"/>
        <extend val="0"/>
        <color indexed="9"/>
      </font>
    </dxf>
    <dxf>
      <font>
        <strike val="0"/>
        <condense val="0"/>
        <extend val="0"/>
      </font>
      <fill>
        <patternFill>
          <bgColor indexed="3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9525</xdr:rowOff>
    </xdr:from>
    <xdr:to>
      <xdr:col>7</xdr:col>
      <xdr:colOff>514349</xdr:colOff>
      <xdr:row>38</xdr:row>
      <xdr:rowOff>131956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50"/>
          <a:ext cx="4886324" cy="319900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19050</xdr:rowOff>
    </xdr:from>
    <xdr:to>
      <xdr:col>9</xdr:col>
      <xdr:colOff>209550</xdr:colOff>
      <xdr:row>60</xdr:row>
      <xdr:rowOff>133630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943475"/>
          <a:ext cx="5800725" cy="238153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72</xdr:row>
      <xdr:rowOff>9525</xdr:rowOff>
    </xdr:from>
    <xdr:to>
      <xdr:col>9</xdr:col>
      <xdr:colOff>161182</xdr:colOff>
      <xdr:row>88</xdr:row>
      <xdr:rowOff>114300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9058275"/>
          <a:ext cx="5752357" cy="26955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46</xdr:row>
      <xdr:rowOff>38100</xdr:rowOff>
    </xdr:from>
    <xdr:to>
      <xdr:col>0</xdr:col>
      <xdr:colOff>790575</xdr:colOff>
      <xdr:row>51</xdr:row>
      <xdr:rowOff>114300</xdr:rowOff>
    </xdr:to>
    <xdr:pic>
      <xdr:nvPicPr>
        <xdr:cNvPr id="3" name="Picture 2" descr="kip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4300" y="8696325"/>
          <a:ext cx="676275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381000</xdr:colOff>
      <xdr:row>7</xdr:row>
      <xdr:rowOff>133350</xdr:rowOff>
    </xdr:from>
    <xdr:to>
      <xdr:col>0</xdr:col>
      <xdr:colOff>981075</xdr:colOff>
      <xdr:row>11</xdr:row>
      <xdr:rowOff>48847</xdr:rowOff>
    </xdr:to>
    <xdr:pic>
      <xdr:nvPicPr>
        <xdr:cNvPr id="4" name="Picture 3" descr="kip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81000" y="1495425"/>
          <a:ext cx="600075" cy="876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419100</xdr:colOff>
      <xdr:row>20</xdr:row>
      <xdr:rowOff>66675</xdr:rowOff>
    </xdr:from>
    <xdr:to>
      <xdr:col>0</xdr:col>
      <xdr:colOff>1000125</xdr:colOff>
      <xdr:row>25</xdr:row>
      <xdr:rowOff>0</xdr:rowOff>
    </xdr:to>
    <xdr:pic>
      <xdr:nvPicPr>
        <xdr:cNvPr id="5" name="Picture 4" descr="kip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19100" y="3771900"/>
          <a:ext cx="58102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33</xdr:row>
      <xdr:rowOff>47625</xdr:rowOff>
    </xdr:from>
    <xdr:to>
      <xdr:col>0</xdr:col>
      <xdr:colOff>828675</xdr:colOff>
      <xdr:row>37</xdr:row>
      <xdr:rowOff>171450</xdr:rowOff>
    </xdr:to>
    <xdr:pic>
      <xdr:nvPicPr>
        <xdr:cNvPr id="6" name="Picture 5" descr="kip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247650" y="6229350"/>
          <a:ext cx="581025" cy="885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526074</xdr:colOff>
      <xdr:row>6</xdr:row>
      <xdr:rowOff>228844</xdr:rowOff>
    </xdr:from>
    <xdr:to>
      <xdr:col>19</xdr:col>
      <xdr:colOff>199049</xdr:colOff>
      <xdr:row>8</xdr:row>
      <xdr:rowOff>126512</xdr:rowOff>
    </xdr:to>
    <xdr:pic>
      <xdr:nvPicPr>
        <xdr:cNvPr id="7" name="Picture 7" descr="zo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1626362" y="1559902"/>
          <a:ext cx="759802" cy="593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6</xdr:row>
      <xdr:rowOff>85725</xdr:rowOff>
    </xdr:from>
    <xdr:to>
      <xdr:col>7</xdr:col>
      <xdr:colOff>314325</xdr:colOff>
      <xdr:row>7</xdr:row>
      <xdr:rowOff>111858</xdr:rowOff>
    </xdr:to>
    <xdr:pic>
      <xdr:nvPicPr>
        <xdr:cNvPr id="8" name="Picture 8" descr="ijskristal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867150" y="1219200"/>
          <a:ext cx="314325" cy="352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6</xdr:row>
      <xdr:rowOff>85725</xdr:rowOff>
    </xdr:from>
    <xdr:to>
      <xdr:col>11</xdr:col>
      <xdr:colOff>314325</xdr:colOff>
      <xdr:row>7</xdr:row>
      <xdr:rowOff>111858</xdr:rowOff>
    </xdr:to>
    <xdr:pic>
      <xdr:nvPicPr>
        <xdr:cNvPr id="9" name="Picture 8" descr="ijskristal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786923" y="1221398"/>
          <a:ext cx="314325" cy="355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15</xdr:col>
      <xdr:colOff>0</xdr:colOff>
      <xdr:row>6</xdr:row>
      <xdr:rowOff>85725</xdr:rowOff>
    </xdr:from>
    <xdr:to>
      <xdr:col>15</xdr:col>
      <xdr:colOff>314325</xdr:colOff>
      <xdr:row>7</xdr:row>
      <xdr:rowOff>111858</xdr:rowOff>
    </xdr:to>
    <xdr:pic>
      <xdr:nvPicPr>
        <xdr:cNvPr id="10" name="Picture 8" descr="ijskristal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786923" y="1221398"/>
          <a:ext cx="314325" cy="355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2"/>
  <dimension ref="A2:A91"/>
  <sheetViews>
    <sheetView topLeftCell="A63" workbookViewId="0">
      <selection activeCell="A14" sqref="A14"/>
    </sheetView>
  </sheetViews>
  <sheetFormatPr baseColWidth="10" defaultColWidth="8.83203125" defaultRowHeight="13"/>
  <cols>
    <col min="1" max="1" width="10.6640625" bestFit="1" customWidth="1"/>
  </cols>
  <sheetData>
    <row r="2" spans="1:1" ht="16">
      <c r="A2" s="56" t="s">
        <v>15</v>
      </c>
    </row>
    <row r="3" spans="1:1" ht="16">
      <c r="A3" s="56" t="s">
        <v>57</v>
      </c>
    </row>
    <row r="4" spans="1:1" ht="16">
      <c r="A4" s="56" t="s">
        <v>58</v>
      </c>
    </row>
    <row r="5" spans="1:1" ht="16">
      <c r="A5" s="56" t="s">
        <v>59</v>
      </c>
    </row>
    <row r="6" spans="1:1" ht="16">
      <c r="A6" s="113" t="s">
        <v>60</v>
      </c>
    </row>
    <row r="7" spans="1:1" ht="16">
      <c r="A7" s="113" t="s">
        <v>61</v>
      </c>
    </row>
    <row r="8" spans="1:1" ht="16">
      <c r="A8" s="113" t="s">
        <v>62</v>
      </c>
    </row>
    <row r="9" spans="1:1" ht="16">
      <c r="A9" s="56" t="s">
        <v>63</v>
      </c>
    </row>
    <row r="10" spans="1:1" ht="16">
      <c r="A10" s="56" t="s">
        <v>64</v>
      </c>
    </row>
    <row r="11" spans="1:1" ht="16">
      <c r="A11" s="56" t="s">
        <v>65</v>
      </c>
    </row>
    <row r="12" spans="1:1" ht="16">
      <c r="A12" s="56" t="s">
        <v>66</v>
      </c>
    </row>
    <row r="13" spans="1:1" ht="16">
      <c r="A13" s="56"/>
    </row>
    <row r="14" spans="1:1" ht="16">
      <c r="A14" s="56" t="s">
        <v>67</v>
      </c>
    </row>
    <row r="15" spans="1:1" ht="16">
      <c r="A15" s="56"/>
    </row>
    <row r="17" spans="1:1" ht="14">
      <c r="A17" s="57" t="s">
        <v>16</v>
      </c>
    </row>
    <row r="18" spans="1:1">
      <c r="A18" s="55" t="s">
        <v>17</v>
      </c>
    </row>
    <row r="19" spans="1:1">
      <c r="A19" s="55" t="s">
        <v>18</v>
      </c>
    </row>
    <row r="20" spans="1:1">
      <c r="A20" s="55"/>
    </row>
    <row r="21" spans="1:1">
      <c r="A21" s="55"/>
    </row>
    <row r="22" spans="1:1">
      <c r="A22" s="55"/>
    </row>
    <row r="23" spans="1:1">
      <c r="A23" s="55"/>
    </row>
    <row r="24" spans="1:1">
      <c r="A24" s="55"/>
    </row>
    <row r="25" spans="1:1">
      <c r="A25" s="55"/>
    </row>
    <row r="26" spans="1:1">
      <c r="A26" s="55"/>
    </row>
    <row r="27" spans="1:1">
      <c r="A27" s="55"/>
    </row>
    <row r="28" spans="1:1">
      <c r="A28" s="55"/>
    </row>
    <row r="29" spans="1:1">
      <c r="A29" s="55"/>
    </row>
    <row r="30" spans="1:1">
      <c r="A30" s="55"/>
    </row>
    <row r="31" spans="1:1">
      <c r="A31" s="55"/>
    </row>
    <row r="32" spans="1:1">
      <c r="A32" s="55"/>
    </row>
    <row r="33" spans="1:1">
      <c r="A33" s="55"/>
    </row>
    <row r="34" spans="1:1">
      <c r="A34" s="55"/>
    </row>
    <row r="35" spans="1:1">
      <c r="A35" s="55"/>
    </row>
    <row r="36" spans="1:1">
      <c r="A36" s="55"/>
    </row>
    <row r="37" spans="1:1">
      <c r="A37" s="55"/>
    </row>
    <row r="38" spans="1:1">
      <c r="A38" s="55"/>
    </row>
    <row r="39" spans="1:1">
      <c r="A39" s="55"/>
    </row>
    <row r="40" spans="1:1">
      <c r="A40" s="51" t="s">
        <v>19</v>
      </c>
    </row>
    <row r="41" spans="1:1">
      <c r="A41" s="55" t="s">
        <v>20</v>
      </c>
    </row>
    <row r="42" spans="1:1">
      <c r="A42" s="55" t="s">
        <v>21</v>
      </c>
    </row>
    <row r="43" spans="1:1">
      <c r="A43" s="55" t="s">
        <v>28</v>
      </c>
    </row>
    <row r="44" spans="1:1">
      <c r="A44" s="55" t="s">
        <v>48</v>
      </c>
    </row>
    <row r="45" spans="1:1">
      <c r="A45" s="55" t="s">
        <v>29</v>
      </c>
    </row>
    <row r="46" spans="1:1">
      <c r="A46" s="55" t="s">
        <v>30</v>
      </c>
    </row>
    <row r="51" spans="1:1">
      <c r="A51" s="51"/>
    </row>
    <row r="52" spans="1:1">
      <c r="A52" t="s">
        <v>14</v>
      </c>
    </row>
    <row r="62" spans="1:1" ht="16">
      <c r="A62" s="56" t="s">
        <v>31</v>
      </c>
    </row>
    <row r="63" spans="1:1" ht="16">
      <c r="A63" s="56" t="s">
        <v>32</v>
      </c>
    </row>
    <row r="65" spans="1:1">
      <c r="A65" s="51" t="s">
        <v>22</v>
      </c>
    </row>
    <row r="66" spans="1:1">
      <c r="A66" t="s">
        <v>24</v>
      </c>
    </row>
    <row r="67" spans="1:1">
      <c r="A67" t="s">
        <v>23</v>
      </c>
    </row>
    <row r="69" spans="1:1">
      <c r="A69" s="51" t="s">
        <v>25</v>
      </c>
    </row>
    <row r="70" spans="1:1">
      <c r="A70" s="55" t="s">
        <v>46</v>
      </c>
    </row>
    <row r="71" spans="1:1">
      <c r="A71" s="55" t="s">
        <v>47</v>
      </c>
    </row>
    <row r="72" spans="1:1">
      <c r="A72" s="55" t="s">
        <v>27</v>
      </c>
    </row>
    <row r="91" spans="1:1">
      <c r="A91" s="51" t="s">
        <v>26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1"/>
  <dimension ref="A1:AA54"/>
  <sheetViews>
    <sheetView tabSelected="1" zoomScale="78" zoomScaleNormal="75" zoomScaleSheetLayoutView="100" workbookViewId="0">
      <selection activeCell="L7" sqref="L7:O7"/>
    </sheetView>
  </sheetViews>
  <sheetFormatPr baseColWidth="10" defaultColWidth="9.1640625" defaultRowHeight="13"/>
  <cols>
    <col min="1" max="1" width="16.1640625" style="1" customWidth="1"/>
    <col min="2" max="2" width="6.83203125" style="2" customWidth="1"/>
    <col min="3" max="3" width="8.6640625" style="6" customWidth="1"/>
    <col min="4" max="4" width="4.83203125" style="6" customWidth="1"/>
    <col min="5" max="5" width="10.6640625" style="2" customWidth="1"/>
    <col min="6" max="6" width="13.5" style="6" customWidth="1"/>
    <col min="7" max="7" width="13.6640625" style="6" customWidth="1"/>
    <col min="8" max="8" width="7.6640625" style="6" customWidth="1"/>
    <col min="9" max="9" width="10.33203125" style="6" customWidth="1"/>
    <col min="10" max="10" width="8.33203125" style="6" customWidth="1"/>
    <col min="11" max="11" width="13.5" style="6" customWidth="1"/>
    <col min="12" max="13" width="7" style="6" customWidth="1"/>
    <col min="14" max="14" width="8.33203125" style="6" customWidth="1"/>
    <col min="15" max="15" width="13.5" style="6" customWidth="1"/>
    <col min="16" max="18" width="7.1640625" style="6" customWidth="1"/>
    <col min="19" max="19" width="16.33203125" style="6" customWidth="1"/>
    <col min="20" max="20" width="5.6640625" style="6" customWidth="1"/>
    <col min="21" max="21" width="17.1640625" style="7" customWidth="1"/>
    <col min="22" max="16384" width="9.1640625" style="6"/>
  </cols>
  <sheetData>
    <row r="1" spans="1:27" ht="14" thickBot="1"/>
    <row r="2" spans="1:27" ht="18" thickBot="1">
      <c r="C2" s="3"/>
      <c r="D2" s="3"/>
      <c r="E2" s="4"/>
      <c r="F2" s="176"/>
      <c r="G2" s="176"/>
      <c r="H2" s="167" t="s">
        <v>54</v>
      </c>
      <c r="I2" s="168"/>
      <c r="J2" s="168"/>
      <c r="K2" s="169"/>
      <c r="L2" s="91">
        <f>IF(V8="Winter",0.1,IF(V8="Summer",0.1,IF(V8="Tropical",0.1,0.1)))</f>
        <v>0.1</v>
      </c>
      <c r="M2" s="93" t="s">
        <v>37</v>
      </c>
      <c r="N2" s="94"/>
      <c r="P2" s="6" t="s">
        <v>34</v>
      </c>
    </row>
    <row r="3" spans="1:27" ht="18" customHeight="1" thickBot="1">
      <c r="C3" s="8"/>
      <c r="D3" s="8"/>
      <c r="E3" s="2" t="s">
        <v>0</v>
      </c>
      <c r="F3" s="176"/>
      <c r="G3" s="176"/>
      <c r="H3" s="170" t="s">
        <v>55</v>
      </c>
      <c r="I3" s="171"/>
      <c r="J3" s="171"/>
      <c r="K3" s="172"/>
      <c r="L3" s="91">
        <f>IF(V8="Winter",0.05,IF(V8="Summer",0.02,IF(V8="Tropical",0,0.035)))</f>
        <v>0.02</v>
      </c>
      <c r="M3" s="92" t="s">
        <v>38</v>
      </c>
      <c r="N3" s="95"/>
      <c r="P3" s="6" t="s">
        <v>35</v>
      </c>
      <c r="R3" s="6">
        <v>0.15</v>
      </c>
      <c r="S3" s="69" t="s">
        <v>41</v>
      </c>
    </row>
    <row r="4" spans="1:27" ht="18" thickBot="1">
      <c r="E4" s="2" t="s">
        <v>0</v>
      </c>
      <c r="F4" s="177"/>
      <c r="G4" s="176"/>
      <c r="H4" s="173" t="s">
        <v>56</v>
      </c>
      <c r="I4" s="174"/>
      <c r="J4" s="174"/>
      <c r="K4" s="175"/>
      <c r="L4" s="91">
        <f>IF(V8="Winter",0.025,IF(V8="Summer",0,IF(V8="Tropical",0,0.01)))</f>
        <v>0</v>
      </c>
      <c r="M4" s="96" t="s">
        <v>38</v>
      </c>
      <c r="N4" s="97"/>
      <c r="P4" s="67" t="s">
        <v>36</v>
      </c>
      <c r="R4" s="6">
        <v>0.25</v>
      </c>
      <c r="S4" s="69" t="s">
        <v>41</v>
      </c>
    </row>
    <row r="5" spans="1:27" ht="9" customHeight="1" thickBot="1">
      <c r="F5" s="10"/>
      <c r="G5" s="5"/>
      <c r="H5" s="5"/>
      <c r="I5" s="5"/>
      <c r="J5" s="5"/>
      <c r="U5" s="9"/>
      <c r="W5" s="119"/>
    </row>
    <row r="6" spans="1:27" s="19" customFormat="1" ht="26.25" customHeight="1" thickBot="1">
      <c r="A6" s="11"/>
      <c r="B6" s="12"/>
      <c r="C6" s="13" t="s">
        <v>1</v>
      </c>
      <c r="D6" s="13"/>
      <c r="E6" s="14">
        <v>1</v>
      </c>
      <c r="F6" s="15">
        <v>25000</v>
      </c>
      <c r="G6" s="16" t="s">
        <v>2</v>
      </c>
      <c r="H6" s="16"/>
      <c r="I6" s="16"/>
      <c r="J6" s="16"/>
      <c r="K6" s="17" t="s">
        <v>70</v>
      </c>
      <c r="L6" s="17"/>
      <c r="M6" s="17"/>
      <c r="N6" s="17"/>
      <c r="O6" s="142">
        <v>236000</v>
      </c>
      <c r="P6" s="143"/>
      <c r="Q6" s="68"/>
      <c r="R6" s="68"/>
      <c r="S6" s="18" t="s">
        <v>3</v>
      </c>
      <c r="T6" s="18"/>
      <c r="U6" s="116" t="s">
        <v>39</v>
      </c>
      <c r="V6" s="117">
        <v>0.1</v>
      </c>
      <c r="W6" s="120"/>
    </row>
    <row r="7" spans="1:27" ht="25.5" customHeight="1" thickBot="1">
      <c r="B7" s="122" t="s">
        <v>5</v>
      </c>
      <c r="C7" s="164" t="s">
        <v>68</v>
      </c>
      <c r="D7" s="127" t="s">
        <v>69</v>
      </c>
      <c r="E7" s="164" t="s">
        <v>53</v>
      </c>
      <c r="F7" s="144" t="s">
        <v>6</v>
      </c>
      <c r="G7" s="123" t="s">
        <v>0</v>
      </c>
      <c r="H7" s="146" t="s">
        <v>40</v>
      </c>
      <c r="I7" s="147"/>
      <c r="J7" s="147"/>
      <c r="K7" s="148"/>
      <c r="L7" s="149" t="s">
        <v>44</v>
      </c>
      <c r="M7" s="150"/>
      <c r="N7" s="150"/>
      <c r="O7" s="151"/>
      <c r="P7" s="152" t="s">
        <v>45</v>
      </c>
      <c r="Q7" s="153"/>
      <c r="R7" s="153"/>
      <c r="S7" s="154"/>
      <c r="T7" s="53"/>
      <c r="U7" s="138" t="s">
        <v>4</v>
      </c>
      <c r="V7" s="50"/>
      <c r="W7" s="121" t="s">
        <v>7</v>
      </c>
    </row>
    <row r="8" spans="1:27" ht="28.5" customHeight="1" thickTop="1" thickBot="1">
      <c r="B8" s="124" t="s">
        <v>8</v>
      </c>
      <c r="C8" s="165"/>
      <c r="D8" s="128"/>
      <c r="E8" s="166"/>
      <c r="F8" s="145"/>
      <c r="G8" s="125" t="s">
        <v>9</v>
      </c>
      <c r="H8" s="155" t="s">
        <v>10</v>
      </c>
      <c r="I8" s="156"/>
      <c r="J8" s="156"/>
      <c r="K8" s="157"/>
      <c r="L8" s="158" t="s">
        <v>43</v>
      </c>
      <c r="M8" s="159"/>
      <c r="N8" s="159"/>
      <c r="O8" s="160"/>
      <c r="P8" s="161" t="s">
        <v>42</v>
      </c>
      <c r="Q8" s="162"/>
      <c r="R8" s="162"/>
      <c r="S8" s="163"/>
      <c r="T8" s="54"/>
      <c r="U8" s="138"/>
      <c r="V8" s="139" t="s">
        <v>11</v>
      </c>
      <c r="W8" s="121" t="s">
        <v>33</v>
      </c>
      <c r="Y8" s="112"/>
      <c r="Z8" s="112"/>
      <c r="AA8" s="112"/>
    </row>
    <row r="9" spans="1:27" ht="16.5" customHeight="1" thickBot="1">
      <c r="B9" s="20"/>
      <c r="C9" s="23"/>
      <c r="D9" s="23"/>
      <c r="E9" s="21" t="s">
        <v>0</v>
      </c>
      <c r="F9" s="22"/>
      <c r="G9" s="23"/>
      <c r="H9" s="129">
        <v>0.6</v>
      </c>
      <c r="I9" s="130"/>
      <c r="J9" s="130"/>
      <c r="K9" s="131"/>
      <c r="L9" s="132">
        <v>0.8</v>
      </c>
      <c r="M9" s="133"/>
      <c r="N9" s="133"/>
      <c r="O9" s="134"/>
      <c r="P9" s="135">
        <v>1</v>
      </c>
      <c r="Q9" s="136"/>
      <c r="R9" s="136"/>
      <c r="S9" s="137"/>
      <c r="T9" s="100"/>
      <c r="U9" s="118">
        <f>IF(V8="Winter",2,IF(V8="Summer",4,IF(V8="Tropical",5,3)))</f>
        <v>4</v>
      </c>
      <c r="V9" s="140"/>
      <c r="W9" s="121" t="s">
        <v>11</v>
      </c>
      <c r="Y9" s="112"/>
      <c r="Z9" s="112"/>
      <c r="AA9" s="112"/>
    </row>
    <row r="10" spans="1:27" ht="16.5" customHeight="1" thickBot="1">
      <c r="B10" s="20"/>
      <c r="C10" s="23"/>
      <c r="D10" s="23"/>
      <c r="E10" s="21"/>
      <c r="F10" s="22"/>
      <c r="G10" s="23"/>
      <c r="H10" s="101" t="s">
        <v>49</v>
      </c>
      <c r="I10" s="101" t="s">
        <v>50</v>
      </c>
      <c r="J10" s="101" t="s">
        <v>51</v>
      </c>
      <c r="K10" s="101" t="s">
        <v>52</v>
      </c>
      <c r="L10" s="103" t="s">
        <v>49</v>
      </c>
      <c r="M10" s="103" t="s">
        <v>50</v>
      </c>
      <c r="N10" s="103" t="s">
        <v>51</v>
      </c>
      <c r="O10" s="103" t="s">
        <v>52</v>
      </c>
      <c r="P10" s="115" t="s">
        <v>49</v>
      </c>
      <c r="Q10" s="115" t="s">
        <v>50</v>
      </c>
      <c r="R10" s="115" t="s">
        <v>51</v>
      </c>
      <c r="S10" s="115" t="s">
        <v>52</v>
      </c>
      <c r="T10" s="109"/>
      <c r="U10" s="118" t="s">
        <v>71</v>
      </c>
      <c r="V10" s="141"/>
      <c r="W10" s="121" t="s">
        <v>12</v>
      </c>
      <c r="Y10" s="84"/>
      <c r="Z10" s="84"/>
      <c r="AA10" s="84"/>
    </row>
    <row r="11" spans="1:27" ht="15" customHeight="1">
      <c r="B11" s="24">
        <v>1</v>
      </c>
      <c r="C11" s="2">
        <v>33</v>
      </c>
      <c r="D11" s="2">
        <v>55</v>
      </c>
      <c r="E11" s="25">
        <f>F6</f>
        <v>25000</v>
      </c>
      <c r="F11" s="26">
        <v>52</v>
      </c>
      <c r="G11" s="27">
        <f>(E11*F11)/1000</f>
        <v>1300</v>
      </c>
      <c r="H11" s="72">
        <f>(I11*E11)</f>
        <v>4133.4045716637329</v>
      </c>
      <c r="I11" s="73">
        <f t="shared" ref="I11:I24" si="0">(((F11/1000)^0.75)*$H$9) + $L$2</f>
        <v>0.16533618286654933</v>
      </c>
      <c r="J11" s="70">
        <f t="shared" ref="J11:J52" si="1">H11/G11</f>
        <v>3.1795419782028715</v>
      </c>
      <c r="K11" s="58">
        <f>H11/$O$6</f>
        <v>1.7514426151117514E-2</v>
      </c>
      <c r="L11" s="28">
        <f xml:space="preserve"> (E11*M11)</f>
        <v>4677.8727622183105</v>
      </c>
      <c r="M11" s="102">
        <f t="shared" ref="M11:M24" si="2">(((F11/1000)^0.75)*$L$9) + $L$2</f>
        <v>0.18711491048873244</v>
      </c>
      <c r="N11" s="104">
        <f t="shared" ref="N11:N52" si="3">L11/G11</f>
        <v>3.5983636632448541</v>
      </c>
      <c r="O11" s="61">
        <f t="shared" ref="O11:O52" si="4">L11/$O$6</f>
        <v>1.9821494755162334E-2</v>
      </c>
      <c r="P11" s="29">
        <f xml:space="preserve"> (E11*Q11)</f>
        <v>5222.3409527728891</v>
      </c>
      <c r="Q11" s="114">
        <f t="shared" ref="Q11:Q24" si="5">(((F11/1000)^0.75)*$P$9) + $L$2</f>
        <v>0.20889363811091555</v>
      </c>
      <c r="R11" s="71">
        <f t="shared" ref="R11:R52" si="6">P11/G11</f>
        <v>4.017185348286838</v>
      </c>
      <c r="S11" s="64">
        <f t="shared" ref="S11:S52" si="7">P11/$O$6</f>
        <v>2.2128563359207157E-2</v>
      </c>
      <c r="T11" s="30"/>
      <c r="U11" s="76">
        <f t="shared" ref="U11:U52" si="8" xml:space="preserve"> (G11*$U$9)</f>
        <v>5200</v>
      </c>
      <c r="V11" s="79">
        <f t="shared" ref="V11:V52" si="9">IF((U11/$O$6)&gt;$V$6,(U11/$O$6),$V$6)</f>
        <v>0.1</v>
      </c>
      <c r="W11" s="119"/>
    </row>
    <row r="12" spans="1:27" ht="15" customHeight="1">
      <c r="B12" s="24">
        <v>2</v>
      </c>
      <c r="C12" s="2" t="s">
        <v>0</v>
      </c>
      <c r="D12" s="2"/>
      <c r="E12" s="25">
        <f xml:space="preserve"> (E11*0.999)</f>
        <v>24975</v>
      </c>
      <c r="F12" s="26">
        <v>64</v>
      </c>
      <c r="G12" s="27">
        <f t="shared" ref="G12:G52" si="10">(E12*F12)/1000</f>
        <v>1598.4</v>
      </c>
      <c r="H12" s="72">
        <f t="shared" ref="H12:H52" si="11">(I12*E12)</f>
        <v>4404.2410992918803</v>
      </c>
      <c r="I12" s="73">
        <f t="shared" si="0"/>
        <v>0.17634598996163683</v>
      </c>
      <c r="J12" s="70">
        <f t="shared" si="1"/>
        <v>2.7554060931505755</v>
      </c>
      <c r="K12" s="58">
        <f t="shared" ref="K12:K52" si="12">H12/$O$6</f>
        <v>1.8662038556321526E-2</v>
      </c>
      <c r="L12" s="28">
        <f t="shared" ref="L12:L52" si="13" xml:space="preserve"> (E12*M12)</f>
        <v>5039.8214657225071</v>
      </c>
      <c r="M12" s="85">
        <f t="shared" si="2"/>
        <v>0.20179465328218246</v>
      </c>
      <c r="N12" s="104">
        <f t="shared" si="3"/>
        <v>3.1530414575341008</v>
      </c>
      <c r="O12" s="61">
        <f t="shared" si="4"/>
        <v>2.1355175702214013E-2</v>
      </c>
      <c r="P12" s="29">
        <f t="shared" ref="P12:P52" si="14" xml:space="preserve"> (E12*Q12)</f>
        <v>5675.401832153133</v>
      </c>
      <c r="Q12" s="88">
        <f t="shared" si="5"/>
        <v>0.22724331660272806</v>
      </c>
      <c r="R12" s="71">
        <f t="shared" si="6"/>
        <v>3.5506768219176257</v>
      </c>
      <c r="S12" s="64">
        <f t="shared" si="7"/>
        <v>2.4048312848106497E-2</v>
      </c>
      <c r="T12" s="30"/>
      <c r="U12" s="76">
        <f t="shared" si="8"/>
        <v>6393.6</v>
      </c>
      <c r="V12" s="79">
        <f t="shared" si="9"/>
        <v>0.1</v>
      </c>
      <c r="W12" s="119"/>
    </row>
    <row r="13" spans="1:27" ht="15" customHeight="1">
      <c r="B13" s="24">
        <v>3</v>
      </c>
      <c r="C13" s="2">
        <v>32</v>
      </c>
      <c r="D13" s="2"/>
      <c r="E13" s="25">
        <f t="shared" ref="E13:E31" si="15" xml:space="preserve"> (E12 * 0.999)</f>
        <v>24950.025000000001</v>
      </c>
      <c r="F13" s="26">
        <v>80</v>
      </c>
      <c r="G13" s="27">
        <f t="shared" si="10"/>
        <v>1996.002</v>
      </c>
      <c r="H13" s="72">
        <f t="shared" si="11"/>
        <v>4746.853888501988</v>
      </c>
      <c r="I13" s="73">
        <f t="shared" si="0"/>
        <v>0.19025447423407343</v>
      </c>
      <c r="J13" s="70">
        <f t="shared" si="1"/>
        <v>2.3781809279259178</v>
      </c>
      <c r="K13" s="58">
        <f t="shared" si="12"/>
        <v>2.0113787663144016E-2</v>
      </c>
      <c r="L13" s="28">
        <f t="shared" si="13"/>
        <v>5497.4710180026514</v>
      </c>
      <c r="M13" s="85">
        <f t="shared" si="2"/>
        <v>0.22033929897876459</v>
      </c>
      <c r="N13" s="104">
        <f t="shared" si="3"/>
        <v>2.7542412372345577</v>
      </c>
      <c r="O13" s="61">
        <f t="shared" si="4"/>
        <v>2.3294368720350216E-2</v>
      </c>
      <c r="P13" s="29">
        <f t="shared" si="14"/>
        <v>6248.0881475033138</v>
      </c>
      <c r="Q13" s="88">
        <f t="shared" si="5"/>
        <v>0.25042412372345574</v>
      </c>
      <c r="R13" s="71">
        <f t="shared" si="6"/>
        <v>3.1303015465431967</v>
      </c>
      <c r="S13" s="64">
        <f t="shared" si="7"/>
        <v>2.6474949777556416E-2</v>
      </c>
      <c r="T13" s="30"/>
      <c r="U13" s="76">
        <f t="shared" si="8"/>
        <v>7984.0079999999998</v>
      </c>
      <c r="V13" s="79">
        <f t="shared" si="9"/>
        <v>0.1</v>
      </c>
    </row>
    <row r="14" spans="1:27" ht="15" customHeight="1">
      <c r="B14" s="24">
        <v>4</v>
      </c>
      <c r="C14" s="2"/>
      <c r="D14" s="2"/>
      <c r="E14" s="25">
        <f t="shared" si="15"/>
        <v>24925.074975000003</v>
      </c>
      <c r="F14" s="26">
        <v>98</v>
      </c>
      <c r="G14" s="27">
        <f t="shared" si="10"/>
        <v>2442.6573475500004</v>
      </c>
      <c r="H14" s="72">
        <f t="shared" si="11"/>
        <v>5111.9404129683389</v>
      </c>
      <c r="I14" s="73">
        <f t="shared" si="0"/>
        <v>0.20509227828183649</v>
      </c>
      <c r="J14" s="70">
        <f t="shared" si="1"/>
        <v>2.0927783498146577</v>
      </c>
      <c r="K14" s="58">
        <f t="shared" si="12"/>
        <v>2.166076446173025E-2</v>
      </c>
      <c r="L14" s="28">
        <f t="shared" si="13"/>
        <v>5985.0847181244526</v>
      </c>
      <c r="M14" s="85">
        <f t="shared" si="2"/>
        <v>0.24012303770911533</v>
      </c>
      <c r="N14" s="104">
        <f t="shared" si="3"/>
        <v>2.4502350786644422</v>
      </c>
      <c r="O14" s="61">
        <f t="shared" si="4"/>
        <v>2.5360528466629038E-2</v>
      </c>
      <c r="P14" s="29">
        <f t="shared" si="14"/>
        <v>6858.2290232805653</v>
      </c>
      <c r="Q14" s="88">
        <f t="shared" si="5"/>
        <v>0.27515379713639415</v>
      </c>
      <c r="R14" s="71">
        <f t="shared" si="6"/>
        <v>2.8076918075142259</v>
      </c>
      <c r="S14" s="64">
        <f t="shared" si="7"/>
        <v>2.9060292471527818E-2</v>
      </c>
      <c r="T14" s="30"/>
      <c r="U14" s="76">
        <f t="shared" si="8"/>
        <v>9770.6293902000016</v>
      </c>
      <c r="V14" s="79">
        <f t="shared" si="9"/>
        <v>0.1</v>
      </c>
    </row>
    <row r="15" spans="1:27" ht="15" customHeight="1">
      <c r="B15" s="24">
        <v>5</v>
      </c>
      <c r="C15" s="2"/>
      <c r="D15" s="2"/>
      <c r="E15" s="25">
        <f t="shared" si="15"/>
        <v>24900.149900025004</v>
      </c>
      <c r="F15" s="26">
        <v>117</v>
      </c>
      <c r="G15" s="27">
        <f t="shared" si="10"/>
        <v>2913.3175383029256</v>
      </c>
      <c r="H15" s="72">
        <f t="shared" si="11"/>
        <v>5478.7857673841081</v>
      </c>
      <c r="I15" s="73">
        <f t="shared" si="0"/>
        <v>0.2200302323231639</v>
      </c>
      <c r="J15" s="70">
        <f t="shared" si="1"/>
        <v>1.8806002762663581</v>
      </c>
      <c r="K15" s="58">
        <f t="shared" si="12"/>
        <v>2.3215193929593678E-2</v>
      </c>
      <c r="L15" s="28">
        <f t="shared" si="13"/>
        <v>6475.0426931779775</v>
      </c>
      <c r="M15" s="85">
        <f t="shared" si="2"/>
        <v>0.26004030976421855</v>
      </c>
      <c r="N15" s="104">
        <f t="shared" si="3"/>
        <v>2.2225667501215258</v>
      </c>
      <c r="O15" s="61">
        <f t="shared" si="4"/>
        <v>2.7436621581262616E-2</v>
      </c>
      <c r="P15" s="29">
        <f t="shared" si="14"/>
        <v>7471.2996189718478</v>
      </c>
      <c r="Q15" s="88">
        <f t="shared" si="5"/>
        <v>0.30005038720527322</v>
      </c>
      <c r="R15" s="71">
        <f t="shared" si="6"/>
        <v>2.564533223976694</v>
      </c>
      <c r="S15" s="64">
        <f t="shared" si="7"/>
        <v>3.1658049232931557E-2</v>
      </c>
      <c r="T15" s="30"/>
      <c r="U15" s="76">
        <f t="shared" si="8"/>
        <v>11653.270153211703</v>
      </c>
      <c r="V15" s="79">
        <f t="shared" si="9"/>
        <v>0.1</v>
      </c>
    </row>
    <row r="16" spans="1:27" ht="15" customHeight="1">
      <c r="B16" s="24">
        <v>6</v>
      </c>
      <c r="C16" s="2"/>
      <c r="D16" s="2"/>
      <c r="E16" s="25">
        <f t="shared" si="15"/>
        <v>24875.249750124978</v>
      </c>
      <c r="F16" s="26">
        <v>135</v>
      </c>
      <c r="G16" s="27">
        <f t="shared" si="10"/>
        <v>3358.158716266872</v>
      </c>
      <c r="H16" s="72">
        <f t="shared" si="11"/>
        <v>5811.5862935167916</v>
      </c>
      <c r="I16" s="73">
        <f t="shared" si="0"/>
        <v>0.23362926410367368</v>
      </c>
      <c r="J16" s="70">
        <f t="shared" si="1"/>
        <v>1.730587141508694</v>
      </c>
      <c r="K16" s="58">
        <f t="shared" si="12"/>
        <v>2.462536565049488E-2</v>
      </c>
      <c r="L16" s="28">
        <f t="shared" si="13"/>
        <v>6919.6067330182213</v>
      </c>
      <c r="M16" s="85">
        <f t="shared" si="2"/>
        <v>0.27817235213823155</v>
      </c>
      <c r="N16" s="104">
        <f t="shared" si="3"/>
        <v>2.060535941764678</v>
      </c>
      <c r="O16" s="61">
        <f t="shared" si="4"/>
        <v>2.9320367512789075E-2</v>
      </c>
      <c r="P16" s="29">
        <f t="shared" si="14"/>
        <v>8027.6271725196539</v>
      </c>
      <c r="Q16" s="88">
        <f t="shared" si="5"/>
        <v>0.32271544017278947</v>
      </c>
      <c r="R16" s="71">
        <f t="shared" si="6"/>
        <v>2.390484742020663</v>
      </c>
      <c r="S16" s="64">
        <f t="shared" si="7"/>
        <v>3.4015369375083281E-2</v>
      </c>
      <c r="T16" s="30"/>
      <c r="U16" s="76">
        <f t="shared" si="8"/>
        <v>13432.634865067488</v>
      </c>
      <c r="V16" s="79">
        <f t="shared" si="9"/>
        <v>0.1</v>
      </c>
    </row>
    <row r="17" spans="1:22" ht="15" customHeight="1">
      <c r="B17" s="31">
        <v>7</v>
      </c>
      <c r="C17" s="48">
        <v>30</v>
      </c>
      <c r="D17" s="48">
        <v>55</v>
      </c>
      <c r="E17" s="32">
        <f t="shared" si="15"/>
        <v>24850.374500374852</v>
      </c>
      <c r="F17" s="33">
        <v>160</v>
      </c>
      <c r="G17" s="34">
        <f t="shared" si="10"/>
        <v>3976.0599200599763</v>
      </c>
      <c r="H17" s="74">
        <f t="shared" si="11"/>
        <v>6257.0590882464458</v>
      </c>
      <c r="I17" s="75">
        <f t="shared" si="0"/>
        <v>0.25178932768808221</v>
      </c>
      <c r="J17" s="98">
        <f t="shared" si="1"/>
        <v>1.5736832980505138</v>
      </c>
      <c r="K17" s="59">
        <f t="shared" si="12"/>
        <v>2.6512962238332397E-2</v>
      </c>
      <c r="L17" s="35">
        <f t="shared" si="13"/>
        <v>7514.3996343160998</v>
      </c>
      <c r="M17" s="86">
        <f t="shared" si="2"/>
        <v>0.30238577025077629</v>
      </c>
      <c r="N17" s="105">
        <f t="shared" si="3"/>
        <v>1.8899110640673518</v>
      </c>
      <c r="O17" s="62">
        <f t="shared" si="4"/>
        <v>3.184067641659364E-2</v>
      </c>
      <c r="P17" s="36">
        <f t="shared" si="14"/>
        <v>8771.740180385752</v>
      </c>
      <c r="Q17" s="89">
        <f t="shared" si="5"/>
        <v>0.35298221281347031</v>
      </c>
      <c r="R17" s="107">
        <f t="shared" si="6"/>
        <v>2.2061388300841895</v>
      </c>
      <c r="S17" s="65">
        <f t="shared" si="7"/>
        <v>3.7168390594854883E-2</v>
      </c>
      <c r="U17" s="77">
        <f t="shared" si="8"/>
        <v>15904.239680239905</v>
      </c>
      <c r="V17" s="80">
        <f t="shared" si="9"/>
        <v>0.1</v>
      </c>
    </row>
    <row r="18" spans="1:22" ht="15" customHeight="1">
      <c r="B18" s="24">
        <v>8</v>
      </c>
      <c r="C18" s="2"/>
      <c r="D18" s="2"/>
      <c r="E18" s="25">
        <f t="shared" si="15"/>
        <v>24825.524125874475</v>
      </c>
      <c r="F18" s="26">
        <v>186</v>
      </c>
      <c r="G18" s="27">
        <f t="shared" si="10"/>
        <v>4617.5474874126521</v>
      </c>
      <c r="H18" s="72">
        <f t="shared" si="11"/>
        <v>6701.3081888056913</v>
      </c>
      <c r="I18" s="73">
        <f t="shared" si="0"/>
        <v>0.26993622188307531</v>
      </c>
      <c r="J18" s="70">
        <f t="shared" si="1"/>
        <v>1.4512700101240608</v>
      </c>
      <c r="K18" s="58">
        <f t="shared" si="12"/>
        <v>2.8395373681380048E-2</v>
      </c>
      <c r="L18" s="28">
        <f t="shared" si="13"/>
        <v>8107.5601142117739</v>
      </c>
      <c r="M18" s="85">
        <f t="shared" si="2"/>
        <v>0.32658162917743377</v>
      </c>
      <c r="N18" s="104">
        <f t="shared" si="3"/>
        <v>1.7558152106313645</v>
      </c>
      <c r="O18" s="61">
        <f t="shared" si="4"/>
        <v>3.4354068280558363E-2</v>
      </c>
      <c r="P18" s="29">
        <f t="shared" si="14"/>
        <v>9513.8120396178565</v>
      </c>
      <c r="Q18" s="88">
        <f t="shared" si="5"/>
        <v>0.38322703647179224</v>
      </c>
      <c r="R18" s="71">
        <f t="shared" si="6"/>
        <v>2.0603604111386682</v>
      </c>
      <c r="S18" s="64">
        <f t="shared" si="7"/>
        <v>4.0312762879736681E-2</v>
      </c>
      <c r="T18" s="30"/>
      <c r="U18" s="76">
        <f t="shared" si="8"/>
        <v>18470.189949650608</v>
      </c>
      <c r="V18" s="79">
        <f t="shared" si="9"/>
        <v>0.1</v>
      </c>
    </row>
    <row r="19" spans="1:22" ht="15" customHeight="1">
      <c r="B19" s="24">
        <v>9</v>
      </c>
      <c r="C19" s="2"/>
      <c r="D19" s="2"/>
      <c r="E19" s="25">
        <f t="shared" si="15"/>
        <v>24800.698601748602</v>
      </c>
      <c r="F19" s="26">
        <v>218</v>
      </c>
      <c r="G19" s="27">
        <f t="shared" si="10"/>
        <v>5406.5522951811954</v>
      </c>
      <c r="H19" s="72">
        <f t="shared" si="11"/>
        <v>7227.4885484658771</v>
      </c>
      <c r="I19" s="73">
        <f t="shared" si="0"/>
        <v>0.29142278064523131</v>
      </c>
      <c r="J19" s="70">
        <f t="shared" si="1"/>
        <v>1.3368017460790425</v>
      </c>
      <c r="K19" s="58">
        <f t="shared" si="12"/>
        <v>3.0624951476550328E-2</v>
      </c>
      <c r="L19" s="28">
        <f t="shared" si="13"/>
        <v>8809.9614445628849</v>
      </c>
      <c r="M19" s="85">
        <f t="shared" si="2"/>
        <v>0.35523037419364178</v>
      </c>
      <c r="N19" s="104">
        <f t="shared" si="3"/>
        <v>1.629497129328632</v>
      </c>
      <c r="O19" s="61">
        <f t="shared" si="4"/>
        <v>3.7330345104080023E-2</v>
      </c>
      <c r="P19" s="29">
        <f t="shared" si="14"/>
        <v>10392.434340659889</v>
      </c>
      <c r="Q19" s="88">
        <f t="shared" si="5"/>
        <v>0.41903796774205215</v>
      </c>
      <c r="R19" s="71">
        <f t="shared" si="6"/>
        <v>1.9221925125782209</v>
      </c>
      <c r="S19" s="64">
        <f t="shared" si="7"/>
        <v>4.4035738731609701E-2</v>
      </c>
      <c r="T19" s="30"/>
      <c r="U19" s="76">
        <f t="shared" si="8"/>
        <v>21626.209180724782</v>
      </c>
      <c r="V19" s="79">
        <f t="shared" si="9"/>
        <v>0.1</v>
      </c>
    </row>
    <row r="20" spans="1:22" ht="15" customHeight="1">
      <c r="B20" s="24">
        <v>10</v>
      </c>
      <c r="C20" s="2"/>
      <c r="D20" s="2"/>
      <c r="E20" s="25">
        <f t="shared" si="15"/>
        <v>24775.897903146852</v>
      </c>
      <c r="F20" s="26">
        <v>249</v>
      </c>
      <c r="G20" s="27">
        <f t="shared" si="10"/>
        <v>6169.198577883566</v>
      </c>
      <c r="H20" s="72">
        <f t="shared" si="11"/>
        <v>7717.5762338178429</v>
      </c>
      <c r="I20" s="73">
        <f t="shared" si="0"/>
        <v>0.31149531952331838</v>
      </c>
      <c r="J20" s="70">
        <f t="shared" si="1"/>
        <v>1.2509852189691502</v>
      </c>
      <c r="K20" s="58">
        <f t="shared" si="12"/>
        <v>3.2701594211092554E-2</v>
      </c>
      <c r="L20" s="28">
        <f t="shared" si="13"/>
        <v>9464.2383816522306</v>
      </c>
      <c r="M20" s="85">
        <f t="shared" si="2"/>
        <v>0.38199375936442459</v>
      </c>
      <c r="N20" s="104">
        <f t="shared" si="3"/>
        <v>1.5341114833912635</v>
      </c>
      <c r="O20" s="61">
        <f t="shared" si="4"/>
        <v>4.0102705007000979E-2</v>
      </c>
      <c r="P20" s="29">
        <f t="shared" si="14"/>
        <v>11210.900529486615</v>
      </c>
      <c r="Q20" s="88">
        <f t="shared" si="5"/>
        <v>0.45249219920553063</v>
      </c>
      <c r="R20" s="71">
        <f t="shared" si="6"/>
        <v>1.8172377478133761</v>
      </c>
      <c r="S20" s="64">
        <f t="shared" si="7"/>
        <v>4.7503815802909383E-2</v>
      </c>
      <c r="T20" s="30"/>
      <c r="U20" s="76">
        <f t="shared" si="8"/>
        <v>24676.794311534264</v>
      </c>
      <c r="V20" s="79">
        <f t="shared" si="9"/>
        <v>0.1045626877607384</v>
      </c>
    </row>
    <row r="21" spans="1:22" ht="15" customHeight="1">
      <c r="B21" s="24">
        <v>11</v>
      </c>
      <c r="C21" s="2"/>
      <c r="D21" s="2"/>
      <c r="E21" s="25">
        <f t="shared" si="15"/>
        <v>24751.122005243706</v>
      </c>
      <c r="F21" s="26">
        <v>282</v>
      </c>
      <c r="G21" s="27">
        <f t="shared" si="10"/>
        <v>6979.8164054787248</v>
      </c>
      <c r="H21" s="72">
        <f t="shared" si="11"/>
        <v>8222.0033660628687</v>
      </c>
      <c r="I21" s="73">
        <f t="shared" si="0"/>
        <v>0.33218709698578425</v>
      </c>
      <c r="J21" s="70">
        <f t="shared" si="1"/>
        <v>1.1779684290276036</v>
      </c>
      <c r="K21" s="58">
        <f t="shared" si="12"/>
        <v>3.4838997313825712E-2</v>
      </c>
      <c r="L21" s="28">
        <f t="shared" si="13"/>
        <v>10137.633754575705</v>
      </c>
      <c r="M21" s="85">
        <f t="shared" si="2"/>
        <v>0.40958279598104574</v>
      </c>
      <c r="N21" s="104">
        <f t="shared" si="3"/>
        <v>1.4524212623441339</v>
      </c>
      <c r="O21" s="61">
        <f t="shared" si="4"/>
        <v>4.2956075231252985E-2</v>
      </c>
      <c r="P21" s="29">
        <f t="shared" si="14"/>
        <v>12053.264143088536</v>
      </c>
      <c r="Q21" s="88">
        <f t="shared" si="5"/>
        <v>0.48697849497630707</v>
      </c>
      <c r="R21" s="71">
        <f t="shared" si="6"/>
        <v>1.7268740956606634</v>
      </c>
      <c r="S21" s="64">
        <f t="shared" si="7"/>
        <v>5.1073153148680238E-2</v>
      </c>
      <c r="T21" s="30"/>
      <c r="U21" s="76">
        <f t="shared" si="8"/>
        <v>27919.265621914899</v>
      </c>
      <c r="V21" s="79">
        <f t="shared" si="9"/>
        <v>0.11830197297421567</v>
      </c>
    </row>
    <row r="22" spans="1:22" ht="15" customHeight="1">
      <c r="B22" s="24">
        <v>12</v>
      </c>
      <c r="C22" s="2"/>
      <c r="D22" s="2"/>
      <c r="E22" s="25">
        <f t="shared" si="15"/>
        <v>24726.370883238462</v>
      </c>
      <c r="F22" s="26">
        <v>315</v>
      </c>
      <c r="G22" s="27">
        <f t="shared" si="10"/>
        <v>7788.8068282201148</v>
      </c>
      <c r="H22" s="72">
        <f t="shared" si="11"/>
        <v>8710.6252307068171</v>
      </c>
      <c r="I22" s="73">
        <f t="shared" si="0"/>
        <v>0.35228078037976795</v>
      </c>
      <c r="J22" s="70">
        <f t="shared" si="1"/>
        <v>1.1183516837452951</v>
      </c>
      <c r="K22" s="58">
        <f t="shared" si="12"/>
        <v>3.6909428943672953E-2</v>
      </c>
      <c r="L22" s="28">
        <f t="shared" si="13"/>
        <v>10789.954611501144</v>
      </c>
      <c r="M22" s="85">
        <f t="shared" si="2"/>
        <v>0.43637437383969069</v>
      </c>
      <c r="N22" s="104">
        <f t="shared" si="3"/>
        <v>1.3853154725069547</v>
      </c>
      <c r="O22" s="61">
        <f t="shared" si="4"/>
        <v>4.572014665890315E-2</v>
      </c>
      <c r="P22" s="29">
        <f t="shared" si="14"/>
        <v>12869.283992295466</v>
      </c>
      <c r="Q22" s="88">
        <f t="shared" si="5"/>
        <v>0.52046796729961331</v>
      </c>
      <c r="R22" s="71">
        <f t="shared" si="6"/>
        <v>1.6522792612686139</v>
      </c>
      <c r="S22" s="64">
        <f t="shared" si="7"/>
        <v>5.4530864374133334E-2</v>
      </c>
      <c r="T22" s="30"/>
      <c r="U22" s="76">
        <f t="shared" si="8"/>
        <v>31155.227312880459</v>
      </c>
      <c r="V22" s="79">
        <f t="shared" si="9"/>
        <v>0.13201367505457823</v>
      </c>
    </row>
    <row r="23" spans="1:22" ht="15" customHeight="1">
      <c r="B23" s="24">
        <v>13</v>
      </c>
      <c r="C23" s="2"/>
      <c r="D23" s="2"/>
      <c r="E23" s="25">
        <f t="shared" si="15"/>
        <v>24701.644512355222</v>
      </c>
      <c r="F23" s="26">
        <v>359</v>
      </c>
      <c r="G23" s="27">
        <f t="shared" si="10"/>
        <v>8867.8903799355248</v>
      </c>
      <c r="H23" s="72">
        <f t="shared" si="11"/>
        <v>9343.9812670836436</v>
      </c>
      <c r="I23" s="73">
        <f t="shared" si="0"/>
        <v>0.37827365147328507</v>
      </c>
      <c r="J23" s="70">
        <f t="shared" si="1"/>
        <v>1.0536870514576184</v>
      </c>
      <c r="K23" s="58">
        <f t="shared" si="12"/>
        <v>3.9593140962218831E-2</v>
      </c>
      <c r="L23" s="28">
        <f t="shared" si="13"/>
        <v>11635.253539033019</v>
      </c>
      <c r="M23" s="85">
        <f t="shared" si="2"/>
        <v>0.47103153529771347</v>
      </c>
      <c r="N23" s="104">
        <f t="shared" si="3"/>
        <v>1.3120655579323495</v>
      </c>
      <c r="O23" s="61">
        <f t="shared" si="4"/>
        <v>4.930192177556364E-2</v>
      </c>
      <c r="P23" s="29">
        <f t="shared" si="14"/>
        <v>13926.525810982392</v>
      </c>
      <c r="Q23" s="88">
        <f t="shared" si="5"/>
        <v>0.56378941912214176</v>
      </c>
      <c r="R23" s="71">
        <f t="shared" si="6"/>
        <v>1.5704440644070801</v>
      </c>
      <c r="S23" s="64">
        <f t="shared" si="7"/>
        <v>5.9010702588908441E-2</v>
      </c>
      <c r="T23" s="30"/>
      <c r="U23" s="76">
        <f t="shared" si="8"/>
        <v>35471.561519742099</v>
      </c>
      <c r="V23" s="79">
        <f t="shared" si="9"/>
        <v>0.15030322677856822</v>
      </c>
    </row>
    <row r="24" spans="1:22" ht="15" customHeight="1">
      <c r="B24" s="31">
        <v>14</v>
      </c>
      <c r="C24" s="48">
        <v>27</v>
      </c>
      <c r="D24" s="48">
        <v>60</v>
      </c>
      <c r="E24" s="32">
        <f t="shared" si="15"/>
        <v>24676.942867842867</v>
      </c>
      <c r="F24" s="33">
        <v>400</v>
      </c>
      <c r="G24" s="34">
        <f t="shared" si="10"/>
        <v>9870.777147137147</v>
      </c>
      <c r="H24" s="74">
        <f t="shared" si="11"/>
        <v>9914.8013838406514</v>
      </c>
      <c r="I24" s="75">
        <f t="shared" si="0"/>
        <v>0.4017840231239046</v>
      </c>
      <c r="J24" s="98">
        <f t="shared" si="1"/>
        <v>1.0044600578097616</v>
      </c>
      <c r="K24" s="59">
        <f t="shared" si="12"/>
        <v>4.2011870270511238E-2</v>
      </c>
      <c r="L24" s="35">
        <f t="shared" si="13"/>
        <v>12397.170416192772</v>
      </c>
      <c r="M24" s="86">
        <f t="shared" si="2"/>
        <v>0.50237869749853947</v>
      </c>
      <c r="N24" s="105">
        <f t="shared" si="3"/>
        <v>1.2559467437463485</v>
      </c>
      <c r="O24" s="62">
        <f t="shared" si="4"/>
        <v>5.2530383119460899E-2</v>
      </c>
      <c r="P24" s="36">
        <f t="shared" si="14"/>
        <v>14879.539448544892</v>
      </c>
      <c r="Q24" s="89">
        <f t="shared" si="5"/>
        <v>0.60297337187317424</v>
      </c>
      <c r="R24" s="107">
        <f t="shared" si="6"/>
        <v>1.5074334296829357</v>
      </c>
      <c r="S24" s="65">
        <f t="shared" si="7"/>
        <v>6.3048895968410568E-2</v>
      </c>
      <c r="T24" s="110"/>
      <c r="U24" s="77">
        <f t="shared" si="8"/>
        <v>39483.108588548588</v>
      </c>
      <c r="V24" s="80">
        <f t="shared" si="9"/>
        <v>0.16730130757859571</v>
      </c>
    </row>
    <row r="25" spans="1:22" ht="15" customHeight="1">
      <c r="B25" s="24">
        <v>15</v>
      </c>
      <c r="C25" s="2"/>
      <c r="D25" s="2"/>
      <c r="E25" s="25">
        <f t="shared" si="15"/>
        <v>24652.265924975025</v>
      </c>
      <c r="F25" s="26">
        <v>450</v>
      </c>
      <c r="G25" s="27">
        <f t="shared" si="10"/>
        <v>11093.519666238761</v>
      </c>
      <c r="H25" s="72">
        <f t="shared" si="11"/>
        <v>8619.8061647067225</v>
      </c>
      <c r="I25" s="73">
        <f t="shared" ref="I25:I38" si="16">(((F25/1000)^0.75)*$H$9) + $L$3</f>
        <v>0.34965573513362364</v>
      </c>
      <c r="J25" s="70">
        <f t="shared" si="1"/>
        <v>0.77701274474138593</v>
      </c>
      <c r="K25" s="58">
        <f t="shared" si="12"/>
        <v>3.6524602392825095E-2</v>
      </c>
      <c r="L25" s="28">
        <f t="shared" si="13"/>
        <v>11328.726446775798</v>
      </c>
      <c r="M25" s="85">
        <f t="shared" ref="M25:M38" si="17">(((F25/1000)^0.75)*$L$9) + $L$3</f>
        <v>0.45954098017816486</v>
      </c>
      <c r="N25" s="104">
        <f t="shared" si="3"/>
        <v>1.0212021781736997</v>
      </c>
      <c r="O25" s="61">
        <f t="shared" si="4"/>
        <v>4.8003078164304228E-2</v>
      </c>
      <c r="P25" s="29">
        <f t="shared" si="14"/>
        <v>14037.646728844869</v>
      </c>
      <c r="Q25" s="88">
        <f t="shared" ref="Q25:Q38" si="18">(((F25/1000)^0.75)*$P$9) + $L$3</f>
        <v>0.56942622522270603</v>
      </c>
      <c r="R25" s="71">
        <f t="shared" si="6"/>
        <v>1.2653916116060133</v>
      </c>
      <c r="S25" s="64">
        <f t="shared" si="7"/>
        <v>5.9481553935783346E-2</v>
      </c>
      <c r="T25" s="30"/>
      <c r="U25" s="76">
        <f t="shared" si="8"/>
        <v>44374.078664955043</v>
      </c>
      <c r="V25" s="79">
        <f t="shared" si="9"/>
        <v>0.18802575705489424</v>
      </c>
    </row>
    <row r="26" spans="1:22" ht="15" customHeight="1">
      <c r="B26" s="24">
        <v>16</v>
      </c>
      <c r="C26" s="2"/>
      <c r="D26" s="2"/>
      <c r="E26" s="25">
        <f t="shared" si="15"/>
        <v>24627.61365905005</v>
      </c>
      <c r="F26" s="26">
        <v>503</v>
      </c>
      <c r="G26" s="27">
        <f t="shared" si="10"/>
        <v>12387.689670502175</v>
      </c>
      <c r="H26" s="72">
        <f t="shared" si="11"/>
        <v>9318.2606103794224</v>
      </c>
      <c r="I26" s="73">
        <f t="shared" si="16"/>
        <v>0.37836636303392668</v>
      </c>
      <c r="J26" s="70">
        <f t="shared" si="1"/>
        <v>0.75221940961019218</v>
      </c>
      <c r="K26" s="58">
        <f t="shared" si="12"/>
        <v>3.9484155128726363E-2</v>
      </c>
      <c r="L26" s="28">
        <f t="shared" si="13"/>
        <v>12260.163389445563</v>
      </c>
      <c r="M26" s="85">
        <f t="shared" si="17"/>
        <v>0.4978218173785689</v>
      </c>
      <c r="N26" s="104">
        <f t="shared" si="3"/>
        <v>0.98970540234307924</v>
      </c>
      <c r="O26" s="61">
        <f t="shared" si="4"/>
        <v>5.1949844870532044E-2</v>
      </c>
      <c r="P26" s="29">
        <f t="shared" si="14"/>
        <v>15202.066168511703</v>
      </c>
      <c r="Q26" s="88">
        <f t="shared" si="18"/>
        <v>0.61727727172321112</v>
      </c>
      <c r="R26" s="71">
        <f t="shared" si="6"/>
        <v>1.2271913950759663</v>
      </c>
      <c r="S26" s="64">
        <f t="shared" si="7"/>
        <v>6.4415534612337719E-2</v>
      </c>
      <c r="T26" s="30"/>
      <c r="U26" s="76">
        <f t="shared" si="8"/>
        <v>49550.758682008702</v>
      </c>
      <c r="V26" s="79">
        <f t="shared" si="9"/>
        <v>0.20996084187291822</v>
      </c>
    </row>
    <row r="27" spans="1:22" ht="15" customHeight="1">
      <c r="B27" s="24">
        <v>17</v>
      </c>
      <c r="C27" s="2"/>
      <c r="D27" s="2"/>
      <c r="E27" s="25">
        <f t="shared" si="15"/>
        <v>24602.986045391001</v>
      </c>
      <c r="F27" s="26">
        <v>559</v>
      </c>
      <c r="G27" s="27">
        <f t="shared" si="10"/>
        <v>13753.069199373569</v>
      </c>
      <c r="H27" s="72">
        <f t="shared" si="11"/>
        <v>10035.345442218344</v>
      </c>
      <c r="I27" s="73">
        <f t="shared" si="16"/>
        <v>0.4078913601667597</v>
      </c>
      <c r="J27" s="70">
        <f t="shared" si="1"/>
        <v>0.72968042963642166</v>
      </c>
      <c r="K27" s="58">
        <f t="shared" si="12"/>
        <v>4.2522650178891286E-2</v>
      </c>
      <c r="L27" s="28">
        <f t="shared" si="13"/>
        <v>13216.440682655184</v>
      </c>
      <c r="M27" s="85">
        <f t="shared" si="17"/>
        <v>0.53718848022234622</v>
      </c>
      <c r="N27" s="104">
        <f t="shared" si="3"/>
        <v>0.96098118107754249</v>
      </c>
      <c r="O27" s="61">
        <f t="shared" si="4"/>
        <v>5.6001867299386374E-2</v>
      </c>
      <c r="P27" s="29">
        <f t="shared" si="14"/>
        <v>16397.535923092026</v>
      </c>
      <c r="Q27" s="88">
        <f t="shared" si="18"/>
        <v>0.6664856002779328</v>
      </c>
      <c r="R27" s="71">
        <f t="shared" si="6"/>
        <v>1.1922819325186633</v>
      </c>
      <c r="S27" s="64">
        <f t="shared" si="7"/>
        <v>6.9481084419881461E-2</v>
      </c>
      <c r="T27" s="30"/>
      <c r="U27" s="76">
        <f t="shared" si="8"/>
        <v>55012.276797494276</v>
      </c>
      <c r="V27" s="79">
        <f t="shared" si="9"/>
        <v>0.23310286778599271</v>
      </c>
    </row>
    <row r="28" spans="1:22" ht="15" customHeight="1">
      <c r="B28" s="24">
        <v>18</v>
      </c>
      <c r="C28" s="2"/>
      <c r="D28" s="2"/>
      <c r="E28" s="25">
        <f t="shared" si="15"/>
        <v>24578.383059345608</v>
      </c>
      <c r="F28" s="26">
        <f>589+28</f>
        <v>617</v>
      </c>
      <c r="G28" s="27">
        <f t="shared" si="10"/>
        <v>15164.862347616241</v>
      </c>
      <c r="H28" s="72">
        <f t="shared" si="11"/>
        <v>10757.973586704344</v>
      </c>
      <c r="I28" s="73">
        <f t="shared" si="16"/>
        <v>0.43770062337822363</v>
      </c>
      <c r="J28" s="70">
        <f t="shared" si="1"/>
        <v>0.70940133448658604</v>
      </c>
      <c r="K28" s="58">
        <f t="shared" si="12"/>
        <v>4.5584633841967558E-2</v>
      </c>
      <c r="L28" s="28">
        <f t="shared" si="13"/>
        <v>14180.108895210153</v>
      </c>
      <c r="M28" s="85">
        <f t="shared" si="17"/>
        <v>0.57693416450429813</v>
      </c>
      <c r="N28" s="104">
        <f t="shared" si="3"/>
        <v>0.93506347569578296</v>
      </c>
      <c r="O28" s="61">
        <f t="shared" si="4"/>
        <v>6.0085207183093868E-2</v>
      </c>
      <c r="P28" s="29">
        <f t="shared" si="14"/>
        <v>17602.244203715964</v>
      </c>
      <c r="Q28" s="88">
        <f t="shared" si="18"/>
        <v>0.71616770563037269</v>
      </c>
      <c r="R28" s="71">
        <f t="shared" si="6"/>
        <v>1.16072561690498</v>
      </c>
      <c r="S28" s="64">
        <f t="shared" si="7"/>
        <v>7.4585780524220185E-2</v>
      </c>
      <c r="T28" s="30"/>
      <c r="U28" s="76">
        <f t="shared" si="8"/>
        <v>60659.449390464964</v>
      </c>
      <c r="V28" s="79">
        <f t="shared" si="9"/>
        <v>0.25703156521383458</v>
      </c>
    </row>
    <row r="29" spans="1:22" ht="15" customHeight="1">
      <c r="B29" s="24">
        <v>19</v>
      </c>
      <c r="C29" s="2"/>
      <c r="D29" s="2"/>
      <c r="E29" s="25">
        <f t="shared" si="15"/>
        <v>24553.804676286261</v>
      </c>
      <c r="F29" s="26">
        <f>642+35</f>
        <v>677</v>
      </c>
      <c r="G29" s="27">
        <f t="shared" si="10"/>
        <v>16622.925765845801</v>
      </c>
      <c r="H29" s="72">
        <f t="shared" si="11"/>
        <v>11486.489145375888</v>
      </c>
      <c r="I29" s="73">
        <f t="shared" si="16"/>
        <v>0.46780893213137703</v>
      </c>
      <c r="J29" s="70">
        <f t="shared" si="1"/>
        <v>0.69100285396067507</v>
      </c>
      <c r="K29" s="58">
        <f t="shared" si="12"/>
        <v>4.8671564175321563E-2</v>
      </c>
      <c r="L29" s="28">
        <f t="shared" si="13"/>
        <v>15151.626829325944</v>
      </c>
      <c r="M29" s="85">
        <f t="shared" si="17"/>
        <v>0.61707857617516948</v>
      </c>
      <c r="N29" s="104">
        <f t="shared" si="3"/>
        <v>0.91148977278459287</v>
      </c>
      <c r="O29" s="61">
        <f t="shared" si="4"/>
        <v>6.4201808598838742E-2</v>
      </c>
      <c r="P29" s="29">
        <f t="shared" si="14"/>
        <v>18816.764513275997</v>
      </c>
      <c r="Q29" s="88">
        <f t="shared" si="18"/>
        <v>0.76634822021896176</v>
      </c>
      <c r="R29" s="71">
        <f t="shared" si="6"/>
        <v>1.1319766916085106</v>
      </c>
      <c r="S29" s="64">
        <f t="shared" si="7"/>
        <v>7.973205302235592E-2</v>
      </c>
      <c r="T29" s="30"/>
      <c r="U29" s="76">
        <f t="shared" si="8"/>
        <v>66491.703063383204</v>
      </c>
      <c r="V29" s="79">
        <f t="shared" si="9"/>
        <v>0.28174450450586103</v>
      </c>
    </row>
    <row r="30" spans="1:22" ht="15" customHeight="1">
      <c r="B30" s="24">
        <v>20</v>
      </c>
      <c r="C30" s="2"/>
      <c r="D30" s="2"/>
      <c r="E30" s="25">
        <f t="shared" si="15"/>
        <v>24529.250871609976</v>
      </c>
      <c r="F30" s="26">
        <v>739</v>
      </c>
      <c r="G30" s="27">
        <f t="shared" si="10"/>
        <v>18127.116394119774</v>
      </c>
      <c r="H30" s="72">
        <f t="shared" si="11"/>
        <v>12221.148230167681</v>
      </c>
      <c r="I30" s="73">
        <f t="shared" si="16"/>
        <v>0.49822753634569295</v>
      </c>
      <c r="J30" s="70">
        <f t="shared" si="1"/>
        <v>0.67419152414843431</v>
      </c>
      <c r="K30" s="58">
        <f t="shared" si="12"/>
        <v>5.1784526399015596E-2</v>
      </c>
      <c r="L30" s="28">
        <f t="shared" si="13"/>
        <v>16131.335967746174</v>
      </c>
      <c r="M30" s="85">
        <f t="shared" si="17"/>
        <v>0.65763671512759059</v>
      </c>
      <c r="N30" s="104">
        <f t="shared" si="3"/>
        <v>0.88990083237833639</v>
      </c>
      <c r="O30" s="61">
        <f t="shared" si="4"/>
        <v>6.8353118507399044E-2</v>
      </c>
      <c r="P30" s="29">
        <f t="shared" si="14"/>
        <v>20041.523705324667</v>
      </c>
      <c r="Q30" s="88">
        <f t="shared" si="18"/>
        <v>0.81704589390948823</v>
      </c>
      <c r="R30" s="71">
        <f t="shared" si="6"/>
        <v>1.1056101406082384</v>
      </c>
      <c r="S30" s="64">
        <f t="shared" si="7"/>
        <v>8.4921710615782492E-2</v>
      </c>
      <c r="T30" s="30"/>
      <c r="U30" s="76">
        <f t="shared" si="8"/>
        <v>72508.465576479095</v>
      </c>
      <c r="V30" s="79">
        <f t="shared" si="9"/>
        <v>0.30723926091728432</v>
      </c>
    </row>
    <row r="31" spans="1:22" ht="15" customHeight="1">
      <c r="A31" s="37" t="s">
        <v>13</v>
      </c>
      <c r="B31" s="31">
        <v>21</v>
      </c>
      <c r="C31" s="48">
        <v>24</v>
      </c>
      <c r="D31" s="48">
        <v>65</v>
      </c>
      <c r="E31" s="32">
        <f t="shared" si="15"/>
        <v>24504.721620738368</v>
      </c>
      <c r="F31" s="33">
        <v>800</v>
      </c>
      <c r="G31" s="34">
        <f t="shared" si="10"/>
        <v>19603.777296590692</v>
      </c>
      <c r="H31" s="74">
        <f t="shared" si="11"/>
        <v>12927.176893396896</v>
      </c>
      <c r="I31" s="75">
        <f t="shared" si="16"/>
        <v>0.52753820645147076</v>
      </c>
      <c r="J31" s="98">
        <f t="shared" si="1"/>
        <v>0.65942275806433848</v>
      </c>
      <c r="K31" s="59">
        <f t="shared" si="12"/>
        <v>5.4776173277105489E-2</v>
      </c>
      <c r="L31" s="35">
        <f t="shared" si="13"/>
        <v>17072.871047057608</v>
      </c>
      <c r="M31" s="86">
        <f t="shared" si="17"/>
        <v>0.69671760860196108</v>
      </c>
      <c r="N31" s="105">
        <f t="shared" si="3"/>
        <v>0.87089701075245152</v>
      </c>
      <c r="O31" s="62">
        <f t="shared" si="4"/>
        <v>7.2342673928210199E-2</v>
      </c>
      <c r="P31" s="36">
        <f t="shared" si="14"/>
        <v>21218.565200718316</v>
      </c>
      <c r="Q31" s="89">
        <f t="shared" si="18"/>
        <v>0.86589701075245129</v>
      </c>
      <c r="R31" s="107">
        <f t="shared" si="6"/>
        <v>1.0823712634405642</v>
      </c>
      <c r="S31" s="65">
        <f t="shared" si="7"/>
        <v>8.9909174579314896E-2</v>
      </c>
      <c r="T31" s="111"/>
      <c r="U31" s="77">
        <f t="shared" si="8"/>
        <v>78415.109186362766</v>
      </c>
      <c r="V31" s="80">
        <f t="shared" si="9"/>
        <v>0.33226741180662189</v>
      </c>
    </row>
    <row r="32" spans="1:22" ht="15" customHeight="1">
      <c r="A32" s="38"/>
      <c r="B32" s="24">
        <v>22</v>
      </c>
      <c r="C32" s="2"/>
      <c r="D32" s="2"/>
      <c r="E32" s="25">
        <f t="shared" ref="E32:E52" si="19" xml:space="preserve"> (E31 * 0.999)-A32</f>
        <v>24480.21689911763</v>
      </c>
      <c r="F32" s="26">
        <f>803+57</f>
        <v>860</v>
      </c>
      <c r="G32" s="27">
        <f t="shared" si="10"/>
        <v>21052.986533241161</v>
      </c>
      <c r="H32" s="72">
        <f t="shared" si="11"/>
        <v>13606.780473755718</v>
      </c>
      <c r="I32" s="73">
        <f t="shared" si="16"/>
        <v>0.55582761091655863</v>
      </c>
      <c r="J32" s="70">
        <f t="shared" si="1"/>
        <v>0.64631117548437056</v>
      </c>
      <c r="K32" s="58">
        <f t="shared" si="12"/>
        <v>5.7655849465066605E-2</v>
      </c>
      <c r="L32" s="28">
        <f t="shared" si="13"/>
        <v>17979.172519013508</v>
      </c>
      <c r="M32" s="85">
        <f t="shared" si="17"/>
        <v>0.73443681455541165</v>
      </c>
      <c r="N32" s="104">
        <f t="shared" si="3"/>
        <v>0.85399629599466464</v>
      </c>
      <c r="O32" s="61">
        <f t="shared" si="4"/>
        <v>7.6182934402599614E-2</v>
      </c>
      <c r="P32" s="29">
        <f t="shared" si="14"/>
        <v>22351.564564271295</v>
      </c>
      <c r="Q32" s="88">
        <f t="shared" si="18"/>
        <v>0.91304601819426445</v>
      </c>
      <c r="R32" s="71">
        <f t="shared" si="6"/>
        <v>1.0616814165049586</v>
      </c>
      <c r="S32" s="64">
        <f t="shared" si="7"/>
        <v>9.4710019340132609E-2</v>
      </c>
      <c r="T32" s="30"/>
      <c r="U32" s="76">
        <f t="shared" si="8"/>
        <v>84211.946132964644</v>
      </c>
      <c r="V32" s="79">
        <f t="shared" si="9"/>
        <v>0.35683028022442648</v>
      </c>
    </row>
    <row r="33" spans="1:22" ht="15" customHeight="1">
      <c r="A33" s="38"/>
      <c r="B33" s="24">
        <v>23</v>
      </c>
      <c r="C33" s="2"/>
      <c r="D33" s="2"/>
      <c r="E33" s="25">
        <f t="shared" si="19"/>
        <v>24455.73668221851</v>
      </c>
      <c r="F33" s="26">
        <f>859+64</f>
        <v>923</v>
      </c>
      <c r="G33" s="27">
        <f t="shared" si="10"/>
        <v>22572.644957687684</v>
      </c>
      <c r="H33" s="72">
        <f t="shared" si="11"/>
        <v>14306.735715763447</v>
      </c>
      <c r="I33" s="73">
        <f t="shared" si="16"/>
        <v>0.58500530577619902</v>
      </c>
      <c r="J33" s="70">
        <f t="shared" si="1"/>
        <v>0.63380856530465768</v>
      </c>
      <c r="K33" s="58">
        <f t="shared" si="12"/>
        <v>6.0621761507472234E-2</v>
      </c>
      <c r="L33" s="28">
        <f t="shared" si="13"/>
        <v>18912.609376469809</v>
      </c>
      <c r="M33" s="85">
        <f t="shared" si="17"/>
        <v>0.77334040770159884</v>
      </c>
      <c r="N33" s="104">
        <f t="shared" si="3"/>
        <v>0.83785526294864454</v>
      </c>
      <c r="O33" s="61">
        <f t="shared" si="4"/>
        <v>8.0138175324024619E-2</v>
      </c>
      <c r="P33" s="29">
        <f t="shared" si="14"/>
        <v>23518.483037176167</v>
      </c>
      <c r="Q33" s="88">
        <f t="shared" si="18"/>
        <v>0.96167550962699844</v>
      </c>
      <c r="R33" s="71">
        <f t="shared" si="6"/>
        <v>1.0419019605926312</v>
      </c>
      <c r="S33" s="64">
        <f t="shared" si="7"/>
        <v>9.9654589140576982E-2</v>
      </c>
      <c r="T33" s="30"/>
      <c r="U33" s="76">
        <f t="shared" si="8"/>
        <v>90290.579830750736</v>
      </c>
      <c r="V33" s="79">
        <f t="shared" si="9"/>
        <v>0.3825872026726726</v>
      </c>
    </row>
    <row r="34" spans="1:22" ht="15" customHeight="1">
      <c r="A34" s="38"/>
      <c r="B34" s="24">
        <v>24</v>
      </c>
      <c r="C34" s="2"/>
      <c r="D34" s="2"/>
      <c r="E34" s="25">
        <f t="shared" si="19"/>
        <v>24431.280945536291</v>
      </c>
      <c r="F34" s="26">
        <f>918+71</f>
        <v>989</v>
      </c>
      <c r="G34" s="27">
        <f t="shared" si="10"/>
        <v>24162.536855135393</v>
      </c>
      <c r="H34" s="72">
        <f t="shared" si="11"/>
        <v>15026.292293254985</v>
      </c>
      <c r="I34" s="73">
        <f t="shared" si="16"/>
        <v>0.61504316236027556</v>
      </c>
      <c r="J34" s="70">
        <f t="shared" si="1"/>
        <v>0.6218838850963353</v>
      </c>
      <c r="K34" s="58">
        <f t="shared" si="12"/>
        <v>6.3670730056165192E-2</v>
      </c>
      <c r="L34" s="28">
        <f t="shared" si="13"/>
        <v>19872.181184703069</v>
      </c>
      <c r="M34" s="85">
        <f t="shared" si="17"/>
        <v>0.81339088314703412</v>
      </c>
      <c r="N34" s="104">
        <f t="shared" si="3"/>
        <v>0.82243769782308795</v>
      </c>
      <c r="O34" s="61">
        <f t="shared" si="4"/>
        <v>8.4204157562301138E-2</v>
      </c>
      <c r="P34" s="29">
        <f t="shared" si="14"/>
        <v>24718.070076151154</v>
      </c>
      <c r="Q34" s="88">
        <f t="shared" si="18"/>
        <v>1.0117386039337926</v>
      </c>
      <c r="R34" s="71">
        <f t="shared" si="6"/>
        <v>1.0229915105498408</v>
      </c>
      <c r="S34" s="64">
        <f t="shared" si="7"/>
        <v>0.1047375850684371</v>
      </c>
      <c r="T34" s="30"/>
      <c r="U34" s="76">
        <f t="shared" si="8"/>
        <v>96650.147420541573</v>
      </c>
      <c r="V34" s="79">
        <f t="shared" si="9"/>
        <v>0.40953452296839649</v>
      </c>
    </row>
    <row r="35" spans="1:22" ht="15" customHeight="1">
      <c r="A35" s="38"/>
      <c r="B35" s="24">
        <v>25</v>
      </c>
      <c r="C35" s="2"/>
      <c r="D35" s="2"/>
      <c r="E35" s="25">
        <f t="shared" si="19"/>
        <v>24406.849664590754</v>
      </c>
      <c r="F35" s="26">
        <f>981+77</f>
        <v>1058</v>
      </c>
      <c r="G35" s="27">
        <f t="shared" si="10"/>
        <v>25822.446945137017</v>
      </c>
      <c r="H35" s="72">
        <f t="shared" si="11"/>
        <v>15764.755283725821</v>
      </c>
      <c r="I35" s="73">
        <f t="shared" si="16"/>
        <v>0.64591520414849735</v>
      </c>
      <c r="J35" s="70">
        <f t="shared" si="1"/>
        <v>0.61050586403449658</v>
      </c>
      <c r="K35" s="58">
        <f t="shared" si="12"/>
        <v>6.6799810524261954E-2</v>
      </c>
      <c r="L35" s="28">
        <f t="shared" si="13"/>
        <v>20856.961380537159</v>
      </c>
      <c r="M35" s="85">
        <f t="shared" si="17"/>
        <v>0.85455360553132986</v>
      </c>
      <c r="N35" s="104">
        <f t="shared" si="3"/>
        <v>0.80770662148518901</v>
      </c>
      <c r="O35" s="61">
        <f t="shared" si="4"/>
        <v>8.8376955002276103E-2</v>
      </c>
      <c r="P35" s="29">
        <f t="shared" si="14"/>
        <v>25949.167477348492</v>
      </c>
      <c r="Q35" s="88">
        <f t="shared" si="18"/>
        <v>1.0631920069141623</v>
      </c>
      <c r="R35" s="71">
        <f t="shared" si="6"/>
        <v>1.0049073789358811</v>
      </c>
      <c r="S35" s="64">
        <f t="shared" si="7"/>
        <v>0.10995409948029022</v>
      </c>
      <c r="T35" s="30"/>
      <c r="U35" s="76">
        <f t="shared" si="8"/>
        <v>103289.78778054807</v>
      </c>
      <c r="V35" s="79">
        <f t="shared" si="9"/>
        <v>0.4376685922904579</v>
      </c>
    </row>
    <row r="36" spans="1:22" ht="15" customHeight="1">
      <c r="A36" s="38"/>
      <c r="B36" s="24">
        <v>26</v>
      </c>
      <c r="C36" s="2"/>
      <c r="D36" s="2"/>
      <c r="E36" s="25">
        <f t="shared" si="19"/>
        <v>24382.442814926162</v>
      </c>
      <c r="F36" s="26">
        <f>1043+84</f>
        <v>1127</v>
      </c>
      <c r="G36" s="27">
        <f t="shared" si="10"/>
        <v>27479.013052421786</v>
      </c>
      <c r="H36" s="72">
        <f t="shared" si="11"/>
        <v>16489.543317502514</v>
      </c>
      <c r="I36" s="73">
        <f t="shared" si="16"/>
        <v>0.67628758294095681</v>
      </c>
      <c r="J36" s="70">
        <f t="shared" si="1"/>
        <v>0.60007771334601312</v>
      </c>
      <c r="K36" s="58">
        <f t="shared" si="12"/>
        <v>6.9870946260603875E-2</v>
      </c>
      <c r="L36" s="28">
        <f t="shared" si="13"/>
        <v>21823.508137903846</v>
      </c>
      <c r="M36" s="85">
        <f t="shared" si="17"/>
        <v>0.89505011058794248</v>
      </c>
      <c r="N36" s="104">
        <f t="shared" si="3"/>
        <v>0.79418820815256652</v>
      </c>
      <c r="O36" s="61">
        <f t="shared" si="4"/>
        <v>9.2472492109762064E-2</v>
      </c>
      <c r="P36" s="29">
        <f t="shared" si="14"/>
        <v>27157.472958305174</v>
      </c>
      <c r="Q36" s="88">
        <f t="shared" si="18"/>
        <v>1.113812638234928</v>
      </c>
      <c r="R36" s="71">
        <f t="shared" si="6"/>
        <v>0.98829870295911981</v>
      </c>
      <c r="S36" s="64">
        <f t="shared" si="7"/>
        <v>0.11507403795892023</v>
      </c>
      <c r="T36" s="30"/>
      <c r="U36" s="76">
        <f t="shared" si="8"/>
        <v>109916.05220968714</v>
      </c>
      <c r="V36" s="79">
        <f t="shared" si="9"/>
        <v>0.46574598393935229</v>
      </c>
    </row>
    <row r="37" spans="1:22" ht="15" customHeight="1">
      <c r="A37" s="38"/>
      <c r="B37" s="24">
        <v>27</v>
      </c>
      <c r="C37" s="2"/>
      <c r="D37" s="2"/>
      <c r="E37" s="25">
        <f t="shared" si="19"/>
        <v>24358.060372111235</v>
      </c>
      <c r="F37" s="26">
        <f>1101+91</f>
        <v>1192</v>
      </c>
      <c r="G37" s="27">
        <f t="shared" si="10"/>
        <v>29034.807963556592</v>
      </c>
      <c r="H37" s="72">
        <f t="shared" si="11"/>
        <v>17159.677269521089</v>
      </c>
      <c r="I37" s="73">
        <f t="shared" si="16"/>
        <v>0.7044763420148209</v>
      </c>
      <c r="J37" s="70">
        <f t="shared" si="1"/>
        <v>0.59100364262988325</v>
      </c>
      <c r="K37" s="58">
        <f t="shared" si="12"/>
        <v>7.2710496904750385E-2</v>
      </c>
      <c r="L37" s="28">
        <f t="shared" si="13"/>
        <v>22717.182623547378</v>
      </c>
      <c r="M37" s="85">
        <f t="shared" si="17"/>
        <v>0.9326351226864279</v>
      </c>
      <c r="N37" s="104">
        <f t="shared" si="3"/>
        <v>0.7824120156765334</v>
      </c>
      <c r="O37" s="61">
        <f t="shared" si="4"/>
        <v>9.6259248404861775E-2</v>
      </c>
      <c r="P37" s="29">
        <f t="shared" si="14"/>
        <v>28274.687977573667</v>
      </c>
      <c r="Q37" s="88">
        <f t="shared" si="18"/>
        <v>1.1607939033580348</v>
      </c>
      <c r="R37" s="71">
        <f t="shared" si="6"/>
        <v>0.97382038872318355</v>
      </c>
      <c r="S37" s="64">
        <f t="shared" si="7"/>
        <v>0.11980799990497316</v>
      </c>
      <c r="T37" s="30"/>
      <c r="U37" s="76">
        <f t="shared" si="8"/>
        <v>116139.23185422637</v>
      </c>
      <c r="V37" s="79">
        <f t="shared" si="9"/>
        <v>0.49211538921282361</v>
      </c>
    </row>
    <row r="38" spans="1:22" ht="15" customHeight="1">
      <c r="A38" s="38"/>
      <c r="B38" s="31">
        <v>28</v>
      </c>
      <c r="C38" s="48">
        <v>21</v>
      </c>
      <c r="D38" s="48">
        <v>70</v>
      </c>
      <c r="E38" s="32">
        <f t="shared" si="19"/>
        <v>24333.702311739122</v>
      </c>
      <c r="F38" s="33">
        <f>1170+98</f>
        <v>1268</v>
      </c>
      <c r="G38" s="34">
        <f t="shared" si="10"/>
        <v>30855.134531285206</v>
      </c>
      <c r="H38" s="74">
        <f t="shared" si="11"/>
        <v>17932.795088672327</v>
      </c>
      <c r="I38" s="75">
        <f t="shared" si="16"/>
        <v>0.73695300694219246</v>
      </c>
      <c r="J38" s="98">
        <f t="shared" si="1"/>
        <v>0.58119322314053035</v>
      </c>
      <c r="K38" s="59">
        <f t="shared" si="12"/>
        <v>7.5986419867255614E-2</v>
      </c>
      <c r="L38" s="35">
        <f t="shared" si="13"/>
        <v>23748.168769484841</v>
      </c>
      <c r="M38" s="86">
        <f t="shared" si="17"/>
        <v>0.97593734258958997</v>
      </c>
      <c r="N38" s="105">
        <f t="shared" si="3"/>
        <v>0.76966667396655364</v>
      </c>
      <c r="O38" s="62">
        <f t="shared" si="4"/>
        <v>0.10062783376900356</v>
      </c>
      <c r="P38" s="36">
        <f t="shared" si="14"/>
        <v>29563.542450297355</v>
      </c>
      <c r="Q38" s="89">
        <f t="shared" si="18"/>
        <v>1.2149216782369874</v>
      </c>
      <c r="R38" s="107">
        <f t="shared" si="6"/>
        <v>0.95814012479257682</v>
      </c>
      <c r="S38" s="65">
        <f t="shared" si="7"/>
        <v>0.12526924767075151</v>
      </c>
      <c r="T38" s="111"/>
      <c r="U38" s="77">
        <f t="shared" si="8"/>
        <v>123420.53812514083</v>
      </c>
      <c r="V38" s="80">
        <f t="shared" si="9"/>
        <v>0.52296838188618999</v>
      </c>
    </row>
    <row r="39" spans="1:22" ht="15" customHeight="1">
      <c r="A39" s="38"/>
      <c r="B39" s="24">
        <v>29</v>
      </c>
      <c r="C39" s="2"/>
      <c r="D39" s="2"/>
      <c r="E39" s="25">
        <f t="shared" si="19"/>
        <v>24309.368609427383</v>
      </c>
      <c r="F39" s="26">
        <f>1241+105</f>
        <v>1346</v>
      </c>
      <c r="G39" s="27">
        <f t="shared" si="10"/>
        <v>32720.410148289258</v>
      </c>
      <c r="H39" s="72">
        <f t="shared" si="11"/>
        <v>18226.728491463255</v>
      </c>
      <c r="I39" s="73">
        <f t="shared" ref="I39:I52" si="20">(((F39/1000)^0.75)*$H$9) + $L$4</f>
        <v>0.74978206074816656</v>
      </c>
      <c r="J39" s="70">
        <f t="shared" si="1"/>
        <v>0.55704462165539859</v>
      </c>
      <c r="K39" s="58">
        <f t="shared" si="12"/>
        <v>7.723190038755616E-2</v>
      </c>
      <c r="L39" s="28">
        <f t="shared" si="13"/>
        <v>24302.304655284341</v>
      </c>
      <c r="M39" s="85">
        <f t="shared" ref="M39:M52" si="21">(((F39/1000)^0.75)*$L$9) + $L$4</f>
        <v>0.99970941433088878</v>
      </c>
      <c r="N39" s="104">
        <f t="shared" si="3"/>
        <v>0.74272616220719812</v>
      </c>
      <c r="O39" s="61">
        <f t="shared" si="4"/>
        <v>0.10297586718340822</v>
      </c>
      <c r="P39" s="29">
        <f t="shared" si="14"/>
        <v>30377.880819105427</v>
      </c>
      <c r="Q39" s="88">
        <f t="shared" ref="Q39:Q52" si="22">(((F39/1000)^0.75)*$P$9) + $L$4</f>
        <v>1.2496367679136109</v>
      </c>
      <c r="R39" s="71">
        <f t="shared" si="6"/>
        <v>0.92840770275899775</v>
      </c>
      <c r="S39" s="64">
        <f t="shared" si="7"/>
        <v>0.12871983397926029</v>
      </c>
      <c r="T39" s="30"/>
      <c r="U39" s="76">
        <f t="shared" si="8"/>
        <v>130881.64059315703</v>
      </c>
      <c r="V39" s="79">
        <f t="shared" si="9"/>
        <v>0.55458322285236028</v>
      </c>
    </row>
    <row r="40" spans="1:22" ht="15" customHeight="1">
      <c r="A40" s="38"/>
      <c r="B40" s="24">
        <v>30</v>
      </c>
      <c r="C40" s="2"/>
      <c r="D40" s="2"/>
      <c r="E40" s="25">
        <f t="shared" si="19"/>
        <v>24285.059240817955</v>
      </c>
      <c r="F40" s="26">
        <f>1313+112</f>
        <v>1425</v>
      </c>
      <c r="G40" s="27">
        <f t="shared" si="10"/>
        <v>34606.209418165585</v>
      </c>
      <c r="H40" s="72">
        <f t="shared" si="11"/>
        <v>19004.286361918461</v>
      </c>
      <c r="I40" s="73">
        <f t="shared" si="20"/>
        <v>0.78255054572715832</v>
      </c>
      <c r="J40" s="70">
        <f t="shared" si="1"/>
        <v>0.54915827770326908</v>
      </c>
      <c r="K40" s="58">
        <f t="shared" si="12"/>
        <v>8.0526637126773146E-2</v>
      </c>
      <c r="L40" s="28">
        <f t="shared" si="13"/>
        <v>25339.048482557948</v>
      </c>
      <c r="M40" s="85">
        <f t="shared" si="21"/>
        <v>1.0434007276362112</v>
      </c>
      <c r="N40" s="104">
        <f t="shared" si="3"/>
        <v>0.73221103693769207</v>
      </c>
      <c r="O40" s="61">
        <f t="shared" si="4"/>
        <v>0.10736884950236418</v>
      </c>
      <c r="P40" s="29">
        <f t="shared" si="14"/>
        <v>31673.810603197435</v>
      </c>
      <c r="Q40" s="88">
        <f t="shared" si="22"/>
        <v>1.3042509095452639</v>
      </c>
      <c r="R40" s="71">
        <f t="shared" si="6"/>
        <v>0.91526379617211506</v>
      </c>
      <c r="S40" s="64">
        <f t="shared" si="7"/>
        <v>0.13421106187795523</v>
      </c>
      <c r="T40" s="30"/>
      <c r="U40" s="76">
        <f t="shared" si="8"/>
        <v>138424.83767266234</v>
      </c>
      <c r="V40" s="79">
        <f t="shared" si="9"/>
        <v>0.58654592234178959</v>
      </c>
    </row>
    <row r="41" spans="1:22" ht="15" customHeight="1">
      <c r="A41" s="38"/>
      <c r="B41" s="24">
        <v>31</v>
      </c>
      <c r="C41" s="2"/>
      <c r="D41" s="2"/>
      <c r="E41" s="25">
        <f t="shared" si="19"/>
        <v>24260.774181577137</v>
      </c>
      <c r="F41" s="26">
        <f>1386+119</f>
        <v>1505</v>
      </c>
      <c r="G41" s="27">
        <f t="shared" si="10"/>
        <v>36512.465143273592</v>
      </c>
      <c r="H41" s="72">
        <f t="shared" si="11"/>
        <v>19779.17990953536</v>
      </c>
      <c r="I41" s="73">
        <f t="shared" si="20"/>
        <v>0.81527406180446793</v>
      </c>
      <c r="J41" s="70">
        <f t="shared" si="1"/>
        <v>0.54171034006941399</v>
      </c>
      <c r="K41" s="58">
        <f t="shared" si="12"/>
        <v>8.3810084362437962E-2</v>
      </c>
      <c r="L41" s="28">
        <f t="shared" si="13"/>
        <v>26372.239879380475</v>
      </c>
      <c r="M41" s="85">
        <f t="shared" si="21"/>
        <v>1.0870320824059572</v>
      </c>
      <c r="N41" s="104">
        <f t="shared" si="3"/>
        <v>0.72228045342588509</v>
      </c>
      <c r="O41" s="61">
        <f t="shared" si="4"/>
        <v>0.11174677914991726</v>
      </c>
      <c r="P41" s="29">
        <f t="shared" si="14"/>
        <v>32965.299849225594</v>
      </c>
      <c r="Q41" s="88">
        <f t="shared" si="22"/>
        <v>1.3587901030074465</v>
      </c>
      <c r="R41" s="71">
        <f t="shared" si="6"/>
        <v>0.90285056678235642</v>
      </c>
      <c r="S41" s="64">
        <f t="shared" si="7"/>
        <v>0.13968347393739658</v>
      </c>
      <c r="T41" s="30"/>
      <c r="U41" s="76">
        <f t="shared" si="8"/>
        <v>146049.86057309437</v>
      </c>
      <c r="V41" s="79">
        <f t="shared" si="9"/>
        <v>0.61885534141141685</v>
      </c>
    </row>
    <row r="42" spans="1:22" ht="15" customHeight="1">
      <c r="A42" s="38"/>
      <c r="B42" s="24">
        <v>32</v>
      </c>
      <c r="C42" s="2"/>
      <c r="D42" s="2"/>
      <c r="E42" s="25">
        <f t="shared" si="19"/>
        <v>24236.51340739556</v>
      </c>
      <c r="F42" s="26">
        <f>1459+126</f>
        <v>1585</v>
      </c>
      <c r="G42" s="27">
        <f t="shared" si="10"/>
        <v>38414.873750721963</v>
      </c>
      <c r="H42" s="72">
        <f t="shared" si="11"/>
        <v>20542.029282938511</v>
      </c>
      <c r="I42" s="73">
        <f t="shared" si="20"/>
        <v>0.84756536295646756</v>
      </c>
      <c r="J42" s="70">
        <f t="shared" si="1"/>
        <v>0.5347415539157524</v>
      </c>
      <c r="K42" s="58">
        <f t="shared" si="12"/>
        <v>8.7042496961603863E-2</v>
      </c>
      <c r="L42" s="28">
        <f t="shared" si="13"/>
        <v>27389.372377251351</v>
      </c>
      <c r="M42" s="85">
        <f t="shared" si="21"/>
        <v>1.1300871506086236</v>
      </c>
      <c r="N42" s="104">
        <f t="shared" si="3"/>
        <v>0.71298873855433664</v>
      </c>
      <c r="O42" s="61">
        <f t="shared" si="4"/>
        <v>0.11605666261547183</v>
      </c>
      <c r="P42" s="29">
        <f t="shared" si="14"/>
        <v>34236.715471564188</v>
      </c>
      <c r="Q42" s="88">
        <f t="shared" si="22"/>
        <v>1.4126089382607794</v>
      </c>
      <c r="R42" s="71">
        <f t="shared" si="6"/>
        <v>0.89123592319292078</v>
      </c>
      <c r="S42" s="64">
        <f t="shared" si="7"/>
        <v>0.14507082826933979</v>
      </c>
      <c r="T42" s="30"/>
      <c r="U42" s="76">
        <f t="shared" si="8"/>
        <v>153659.49500288785</v>
      </c>
      <c r="V42" s="79">
        <f t="shared" si="9"/>
        <v>0.65109955509698247</v>
      </c>
    </row>
    <row r="43" spans="1:22" ht="15" customHeight="1">
      <c r="A43" s="38"/>
      <c r="B43" s="24">
        <v>33</v>
      </c>
      <c r="C43" s="2"/>
      <c r="D43" s="2"/>
      <c r="E43" s="25">
        <f t="shared" si="19"/>
        <v>24212.276893988164</v>
      </c>
      <c r="F43" s="26">
        <f>1532+130</f>
        <v>1662</v>
      </c>
      <c r="G43" s="27">
        <f t="shared" si="10"/>
        <v>40240.804197808335</v>
      </c>
      <c r="H43" s="72">
        <f t="shared" si="11"/>
        <v>21264.743419054899</v>
      </c>
      <c r="I43" s="73">
        <f t="shared" si="20"/>
        <v>0.87826285450811414</v>
      </c>
      <c r="J43" s="70">
        <f t="shared" si="1"/>
        <v>0.52843733724916608</v>
      </c>
      <c r="K43" s="58">
        <f t="shared" si="12"/>
        <v>9.0104844995995331E-2</v>
      </c>
      <c r="L43" s="28">
        <f t="shared" si="13"/>
        <v>28352.991225406535</v>
      </c>
      <c r="M43" s="85">
        <f t="shared" si="21"/>
        <v>1.1710171393441522</v>
      </c>
      <c r="N43" s="104">
        <f t="shared" si="3"/>
        <v>0.70458311633222148</v>
      </c>
      <c r="O43" s="61">
        <f t="shared" si="4"/>
        <v>0.12013979332799379</v>
      </c>
      <c r="P43" s="29">
        <f t="shared" si="14"/>
        <v>35441.239031758167</v>
      </c>
      <c r="Q43" s="88">
        <f t="shared" si="22"/>
        <v>1.4637714241801902</v>
      </c>
      <c r="R43" s="71">
        <f t="shared" si="6"/>
        <v>0.88072889541527677</v>
      </c>
      <c r="S43" s="64">
        <f t="shared" si="7"/>
        <v>0.15017474165999223</v>
      </c>
      <c r="T43" s="30"/>
      <c r="U43" s="76">
        <f t="shared" si="8"/>
        <v>160963.21679123334</v>
      </c>
      <c r="V43" s="79">
        <f t="shared" si="9"/>
        <v>0.6820475287764125</v>
      </c>
    </row>
    <row r="44" spans="1:22" ht="15" customHeight="1">
      <c r="A44" s="38"/>
      <c r="B44" s="24">
        <v>34</v>
      </c>
      <c r="C44" s="2"/>
      <c r="D44" s="2"/>
      <c r="E44" s="25">
        <f t="shared" si="19"/>
        <v>24188.064617094176</v>
      </c>
      <c r="F44" s="26">
        <f>1605+135</f>
        <v>1740</v>
      </c>
      <c r="G44" s="27">
        <f t="shared" si="10"/>
        <v>42087.232433743862</v>
      </c>
      <c r="H44" s="72">
        <f t="shared" si="11"/>
        <v>21986.915468985357</v>
      </c>
      <c r="I44" s="73">
        <f t="shared" si="20"/>
        <v>0.90899854192744201</v>
      </c>
      <c r="J44" s="70">
        <f t="shared" si="1"/>
        <v>0.52241295513071384</v>
      </c>
      <c r="K44" s="58">
        <f t="shared" si="12"/>
        <v>9.3164896055022692E-2</v>
      </c>
      <c r="L44" s="28">
        <f t="shared" si="13"/>
        <v>29315.887291980478</v>
      </c>
      <c r="M44" s="85">
        <f t="shared" si="21"/>
        <v>1.2119980559032562</v>
      </c>
      <c r="N44" s="104">
        <f t="shared" si="3"/>
        <v>0.69655060684095182</v>
      </c>
      <c r="O44" s="61">
        <f t="shared" si="4"/>
        <v>0.12421986140669694</v>
      </c>
      <c r="P44" s="29">
        <f t="shared" si="14"/>
        <v>36644.859114975596</v>
      </c>
      <c r="Q44" s="88">
        <f t="shared" si="22"/>
        <v>1.5149975698790701</v>
      </c>
      <c r="R44" s="71">
        <f t="shared" si="6"/>
        <v>0.87068825855118981</v>
      </c>
      <c r="S44" s="64">
        <f t="shared" si="7"/>
        <v>0.15527482675837118</v>
      </c>
      <c r="T44" s="30"/>
      <c r="U44" s="76">
        <f t="shared" si="8"/>
        <v>168348.92973497545</v>
      </c>
      <c r="V44" s="79">
        <f t="shared" si="9"/>
        <v>0.71334292260582821</v>
      </c>
    </row>
    <row r="45" spans="1:22" ht="15" customHeight="1">
      <c r="A45" s="38"/>
      <c r="B45" s="31">
        <v>35</v>
      </c>
      <c r="C45" s="48">
        <v>20</v>
      </c>
      <c r="D45" s="48">
        <v>70</v>
      </c>
      <c r="E45" s="32">
        <f t="shared" si="19"/>
        <v>24163.876552477082</v>
      </c>
      <c r="F45" s="33">
        <f>1678+140</f>
        <v>1818</v>
      </c>
      <c r="G45" s="34">
        <f t="shared" si="10"/>
        <v>43929.927572403336</v>
      </c>
      <c r="H45" s="74">
        <f t="shared" si="11"/>
        <v>22699.34198396845</v>
      </c>
      <c r="I45" s="75">
        <f t="shared" si="20"/>
        <v>0.93939157215407565</v>
      </c>
      <c r="J45" s="98">
        <f t="shared" si="1"/>
        <v>0.5167170363883804</v>
      </c>
      <c r="K45" s="59">
        <f t="shared" si="12"/>
        <v>9.6183652474442591E-2</v>
      </c>
      <c r="L45" s="35">
        <f t="shared" si="13"/>
        <v>30265.789311957942</v>
      </c>
      <c r="M45" s="86">
        <f t="shared" si="21"/>
        <v>1.2525220962054344</v>
      </c>
      <c r="N45" s="105">
        <f t="shared" si="3"/>
        <v>0.68895604851784076</v>
      </c>
      <c r="O45" s="62">
        <f t="shared" si="4"/>
        <v>0.12824486996592349</v>
      </c>
      <c r="P45" s="36">
        <f t="shared" si="14"/>
        <v>37832.236639947419</v>
      </c>
      <c r="Q45" s="89">
        <f t="shared" si="22"/>
        <v>1.5656526202567929</v>
      </c>
      <c r="R45" s="107">
        <f t="shared" si="6"/>
        <v>0.86119506064730078</v>
      </c>
      <c r="S45" s="65">
        <f t="shared" si="7"/>
        <v>0.16030608745740432</v>
      </c>
      <c r="T45" s="111"/>
      <c r="U45" s="77">
        <f t="shared" si="8"/>
        <v>175719.71028961334</v>
      </c>
      <c r="V45" s="80">
        <f t="shared" si="9"/>
        <v>0.74457504360005655</v>
      </c>
    </row>
    <row r="46" spans="1:22" ht="15" customHeight="1">
      <c r="A46" s="38"/>
      <c r="B46" s="24">
        <v>36</v>
      </c>
      <c r="C46" s="2"/>
      <c r="D46" s="2"/>
      <c r="E46" s="25">
        <f t="shared" si="19"/>
        <v>24139.712675924606</v>
      </c>
      <c r="F46" s="26">
        <f>1751+145</f>
        <v>1896</v>
      </c>
      <c r="G46" s="27">
        <f t="shared" si="10"/>
        <v>45768.895233553048</v>
      </c>
      <c r="H46" s="72">
        <f t="shared" si="11"/>
        <v>23402.49152917754</v>
      </c>
      <c r="I46" s="73">
        <f t="shared" si="20"/>
        <v>0.96946023522962965</v>
      </c>
      <c r="J46" s="70">
        <f t="shared" si="1"/>
        <v>0.51131868946710424</v>
      </c>
      <c r="K46" s="58">
        <f t="shared" si="12"/>
        <v>9.9163099699904833E-2</v>
      </c>
      <c r="L46" s="28">
        <f t="shared" si="13"/>
        <v>31203.322038903392</v>
      </c>
      <c r="M46" s="85">
        <f t="shared" si="21"/>
        <v>1.2926136469728398</v>
      </c>
      <c r="N46" s="104">
        <f t="shared" si="3"/>
        <v>0.68175825262280587</v>
      </c>
      <c r="O46" s="61">
        <f t="shared" si="4"/>
        <v>0.1322174662665398</v>
      </c>
      <c r="P46" s="29">
        <f t="shared" si="14"/>
        <v>39004.152548629238</v>
      </c>
      <c r="Q46" s="88">
        <f t="shared" si="22"/>
        <v>1.6157670587160495</v>
      </c>
      <c r="R46" s="71">
        <f t="shared" si="6"/>
        <v>0.85219781577850717</v>
      </c>
      <c r="S46" s="64">
        <f t="shared" si="7"/>
        <v>0.16527183283317473</v>
      </c>
      <c r="T46" s="30"/>
      <c r="U46" s="76">
        <f t="shared" si="8"/>
        <v>183075.58093421219</v>
      </c>
      <c r="V46" s="79">
        <f t="shared" si="9"/>
        <v>0.77574398700937375</v>
      </c>
    </row>
    <row r="47" spans="1:22" ht="15" customHeight="1">
      <c r="A47" s="38"/>
      <c r="B47" s="24">
        <v>37</v>
      </c>
      <c r="C47" s="2"/>
      <c r="D47" s="2"/>
      <c r="E47" s="25">
        <f t="shared" si="19"/>
        <v>24115.57296324868</v>
      </c>
      <c r="F47" s="26">
        <f>1824+150</f>
        <v>1974</v>
      </c>
      <c r="G47" s="27">
        <f t="shared" si="10"/>
        <v>47604.141029452898</v>
      </c>
      <c r="H47" s="72">
        <f t="shared" si="11"/>
        <v>24096.790198727482</v>
      </c>
      <c r="I47" s="73">
        <f t="shared" si="20"/>
        <v>0.99922113546504487</v>
      </c>
      <c r="J47" s="70">
        <f t="shared" si="1"/>
        <v>0.50619105140073184</v>
      </c>
      <c r="K47" s="58">
        <f t="shared" si="12"/>
        <v>0.10210504321494696</v>
      </c>
      <c r="L47" s="28">
        <f t="shared" si="13"/>
        <v>32129.053598303315</v>
      </c>
      <c r="M47" s="85">
        <f t="shared" si="21"/>
        <v>1.3322948472867266</v>
      </c>
      <c r="N47" s="104">
        <f t="shared" si="3"/>
        <v>0.6749214018676426</v>
      </c>
      <c r="O47" s="61">
        <f t="shared" si="4"/>
        <v>0.13614005761992931</v>
      </c>
      <c r="P47" s="29">
        <f t="shared" si="14"/>
        <v>40161.316997879141</v>
      </c>
      <c r="Q47" s="88">
        <f t="shared" si="22"/>
        <v>1.6653685591084082</v>
      </c>
      <c r="R47" s="71">
        <f t="shared" si="6"/>
        <v>0.84365175233455325</v>
      </c>
      <c r="S47" s="64">
        <f t="shared" si="7"/>
        <v>0.17017507202491161</v>
      </c>
      <c r="T47" s="30"/>
      <c r="U47" s="76">
        <f t="shared" si="8"/>
        <v>190416.56411781159</v>
      </c>
      <c r="V47" s="79">
        <f t="shared" si="9"/>
        <v>0.80684984795682879</v>
      </c>
    </row>
    <row r="48" spans="1:22" ht="15" customHeight="1">
      <c r="A48" s="38"/>
      <c r="B48" s="24">
        <v>38</v>
      </c>
      <c r="C48" s="2"/>
      <c r="D48" s="2"/>
      <c r="E48" s="25">
        <f t="shared" si="19"/>
        <v>24091.457390285432</v>
      </c>
      <c r="F48" s="26">
        <f>1897+155</f>
        <v>2052</v>
      </c>
      <c r="G48" s="27">
        <f t="shared" si="10"/>
        <v>49435.670564865708</v>
      </c>
      <c r="H48" s="72">
        <f t="shared" si="11"/>
        <v>24782.627018471652</v>
      </c>
      <c r="I48" s="73">
        <f t="shared" si="20"/>
        <v>1.0286894070785824</v>
      </c>
      <c r="J48" s="70">
        <f t="shared" si="1"/>
        <v>0.50131062723127795</v>
      </c>
      <c r="K48" s="58">
        <f t="shared" si="12"/>
        <v>0.10501113143420192</v>
      </c>
      <c r="L48" s="28">
        <f t="shared" si="13"/>
        <v>33043.502691295536</v>
      </c>
      <c r="M48" s="85">
        <f t="shared" si="21"/>
        <v>1.3715858761047766</v>
      </c>
      <c r="N48" s="104">
        <f t="shared" si="3"/>
        <v>0.66841416964170397</v>
      </c>
      <c r="O48" s="61">
        <f t="shared" si="4"/>
        <v>0.14001484191226923</v>
      </c>
      <c r="P48" s="29">
        <f t="shared" si="14"/>
        <v>41304.378364119417</v>
      </c>
      <c r="Q48" s="88">
        <f t="shared" si="22"/>
        <v>1.7144823451309705</v>
      </c>
      <c r="R48" s="71">
        <f t="shared" si="6"/>
        <v>0.83551771205212988</v>
      </c>
      <c r="S48" s="64">
        <f t="shared" si="7"/>
        <v>0.17501855239033651</v>
      </c>
      <c r="T48" s="30"/>
      <c r="U48" s="76">
        <f t="shared" si="8"/>
        <v>197742.68225946283</v>
      </c>
      <c r="V48" s="79">
        <f t="shared" si="9"/>
        <v>0.83789272143840188</v>
      </c>
    </row>
    <row r="49" spans="1:22" ht="15" customHeight="1">
      <c r="A49" s="38"/>
      <c r="B49" s="24">
        <v>39</v>
      </c>
      <c r="C49" s="2"/>
      <c r="D49" s="2"/>
      <c r="E49" s="25">
        <f t="shared" si="19"/>
        <v>24067.365932895147</v>
      </c>
      <c r="F49" s="26">
        <f>1970+160</f>
        <v>2130</v>
      </c>
      <c r="G49" s="27">
        <f t="shared" si="10"/>
        <v>51263.489437066666</v>
      </c>
      <c r="H49" s="72">
        <f t="shared" si="11"/>
        <v>25460.35848155848</v>
      </c>
      <c r="I49" s="73">
        <f t="shared" si="20"/>
        <v>1.0578788951207743</v>
      </c>
      <c r="J49" s="70">
        <f t="shared" si="1"/>
        <v>0.49665675827266392</v>
      </c>
      <c r="K49" s="58">
        <f t="shared" si="12"/>
        <v>0.10788287492185797</v>
      </c>
      <c r="L49" s="28">
        <f t="shared" si="13"/>
        <v>33947.144642077976</v>
      </c>
      <c r="M49" s="85">
        <f t="shared" si="21"/>
        <v>1.4105051934943658</v>
      </c>
      <c r="N49" s="104">
        <f t="shared" si="3"/>
        <v>0.66220901103021867</v>
      </c>
      <c r="O49" s="61">
        <f t="shared" si="4"/>
        <v>0.14384383322914396</v>
      </c>
      <c r="P49" s="29">
        <f t="shared" si="14"/>
        <v>42433.930802597468</v>
      </c>
      <c r="Q49" s="88">
        <f t="shared" si="22"/>
        <v>1.763131491867957</v>
      </c>
      <c r="R49" s="71">
        <f t="shared" si="6"/>
        <v>0.82776126378777326</v>
      </c>
      <c r="S49" s="64">
        <f t="shared" si="7"/>
        <v>0.17980479153642995</v>
      </c>
      <c r="T49" s="30"/>
      <c r="U49" s="76">
        <f t="shared" si="8"/>
        <v>205053.95774826666</v>
      </c>
      <c r="V49" s="79">
        <f t="shared" si="9"/>
        <v>0.86887270232316383</v>
      </c>
    </row>
    <row r="50" spans="1:22" ht="15" customHeight="1">
      <c r="A50" s="38"/>
      <c r="B50" s="24">
        <v>40</v>
      </c>
      <c r="C50" s="2"/>
      <c r="D50" s="2"/>
      <c r="E50" s="25">
        <f t="shared" si="19"/>
        <v>24043.29856696225</v>
      </c>
      <c r="F50" s="26">
        <f>2043+165</f>
        <v>2208</v>
      </c>
      <c r="G50" s="27">
        <f t="shared" si="10"/>
        <v>53087.60323585265</v>
      </c>
      <c r="H50" s="72">
        <f t="shared" si="11"/>
        <v>26130.312382648237</v>
      </c>
      <c r="I50" s="73">
        <f t="shared" si="20"/>
        <v>1.0868023083385796</v>
      </c>
      <c r="J50" s="70">
        <f t="shared" si="1"/>
        <v>0.49221119037073352</v>
      </c>
      <c r="K50" s="58">
        <f t="shared" si="12"/>
        <v>0.11072166263833999</v>
      </c>
      <c r="L50" s="28">
        <f t="shared" si="13"/>
        <v>34840.416510197654</v>
      </c>
      <c r="M50" s="85">
        <f t="shared" si="21"/>
        <v>1.4490697444514398</v>
      </c>
      <c r="N50" s="104">
        <f t="shared" si="3"/>
        <v>0.65628158716097806</v>
      </c>
      <c r="O50" s="61">
        <f t="shared" si="4"/>
        <v>0.14762888351778666</v>
      </c>
      <c r="P50" s="29">
        <f t="shared" si="14"/>
        <v>43550.520637747068</v>
      </c>
      <c r="Q50" s="88">
        <f t="shared" si="22"/>
        <v>1.8113371805642995</v>
      </c>
      <c r="R50" s="71">
        <f t="shared" si="6"/>
        <v>0.82035198395122266</v>
      </c>
      <c r="S50" s="64">
        <f t="shared" si="7"/>
        <v>0.18453610439723334</v>
      </c>
      <c r="T50" s="30"/>
      <c r="U50" s="76">
        <f t="shared" si="8"/>
        <v>212350.4129434106</v>
      </c>
      <c r="V50" s="79">
        <f t="shared" si="9"/>
        <v>0.89978988535343474</v>
      </c>
    </row>
    <row r="51" spans="1:22" ht="15" customHeight="1">
      <c r="A51" s="38"/>
      <c r="B51" s="24">
        <v>41</v>
      </c>
      <c r="C51" s="2"/>
      <c r="D51" s="2"/>
      <c r="E51" s="25">
        <f t="shared" si="19"/>
        <v>24019.255268395289</v>
      </c>
      <c r="F51" s="26">
        <f>2116+170</f>
        <v>2286</v>
      </c>
      <c r="G51" s="27">
        <f t="shared" si="10"/>
        <v>54908.017543551628</v>
      </c>
      <c r="H51" s="72">
        <f t="shared" si="11"/>
        <v>26792.791080212704</v>
      </c>
      <c r="I51" s="73">
        <f t="shared" si="20"/>
        <v>1.115471349166552</v>
      </c>
      <c r="J51" s="70">
        <f t="shared" si="1"/>
        <v>0.48795772054529835</v>
      </c>
      <c r="K51" s="58">
        <f t="shared" si="12"/>
        <v>0.11352877576361316</v>
      </c>
      <c r="L51" s="28">
        <f t="shared" si="13"/>
        <v>35723.721440283611</v>
      </c>
      <c r="M51" s="85">
        <f t="shared" si="21"/>
        <v>1.4872951322220695</v>
      </c>
      <c r="N51" s="104">
        <f t="shared" si="3"/>
        <v>0.65061029406039783</v>
      </c>
      <c r="O51" s="61">
        <f t="shared" si="4"/>
        <v>0.15137170101815089</v>
      </c>
      <c r="P51" s="29">
        <f t="shared" si="14"/>
        <v>44654.651800354513</v>
      </c>
      <c r="Q51" s="88">
        <f t="shared" si="22"/>
        <v>1.8591189152775869</v>
      </c>
      <c r="R51" s="71">
        <f t="shared" si="6"/>
        <v>0.81326286757549737</v>
      </c>
      <c r="S51" s="64">
        <f t="shared" si="7"/>
        <v>0.18921462627268862</v>
      </c>
      <c r="T51" s="30"/>
      <c r="U51" s="76">
        <f t="shared" si="8"/>
        <v>219632.07017420651</v>
      </c>
      <c r="V51" s="79">
        <f t="shared" si="9"/>
        <v>0.93064436514494286</v>
      </c>
    </row>
    <row r="52" spans="1:22" ht="15" customHeight="1" thickBot="1">
      <c r="A52" s="38"/>
      <c r="B52" s="39">
        <v>42</v>
      </c>
      <c r="C52" s="49">
        <v>19</v>
      </c>
      <c r="D52" s="49">
        <v>70</v>
      </c>
      <c r="E52" s="40">
        <f t="shared" si="19"/>
        <v>23995.236013126894</v>
      </c>
      <c r="F52" s="41">
        <f>2189+175</f>
        <v>2364</v>
      </c>
      <c r="G52" s="42">
        <f t="shared" si="10"/>
        <v>56724.737935031982</v>
      </c>
      <c r="H52" s="82">
        <f t="shared" si="11"/>
        <v>27448.074288854321</v>
      </c>
      <c r="I52" s="83">
        <f t="shared" si="20"/>
        <v>1.1438968249296864</v>
      </c>
      <c r="J52" s="99">
        <f t="shared" si="1"/>
        <v>0.48388190563861516</v>
      </c>
      <c r="K52" s="60">
        <f t="shared" si="12"/>
        <v>0.11630539952904373</v>
      </c>
      <c r="L52" s="43">
        <f t="shared" si="13"/>
        <v>36597.432385139095</v>
      </c>
      <c r="M52" s="87">
        <f t="shared" si="21"/>
        <v>1.5251957665729152</v>
      </c>
      <c r="N52" s="106">
        <f t="shared" si="3"/>
        <v>0.64517587418482025</v>
      </c>
      <c r="O52" s="63">
        <f t="shared" si="4"/>
        <v>0.15507386603872497</v>
      </c>
      <c r="P52" s="44">
        <f t="shared" si="14"/>
        <v>45746.790481423865</v>
      </c>
      <c r="Q52" s="90">
        <f t="shared" si="22"/>
        <v>1.9064947082161439</v>
      </c>
      <c r="R52" s="108">
        <f t="shared" si="6"/>
        <v>0.80646984273102529</v>
      </c>
      <c r="S52" s="66">
        <f t="shared" si="7"/>
        <v>0.19384233254840622</v>
      </c>
      <c r="T52" s="111"/>
      <c r="U52" s="78">
        <f t="shared" si="8"/>
        <v>226898.95174012793</v>
      </c>
      <c r="V52" s="81">
        <f t="shared" si="9"/>
        <v>0.96143623618698271</v>
      </c>
    </row>
    <row r="53" spans="1:22">
      <c r="C53" s="25"/>
      <c r="D53" s="25"/>
      <c r="E53" s="26"/>
      <c r="F53" s="25"/>
      <c r="G53" s="45"/>
      <c r="H53" s="45"/>
      <c r="I53" s="45"/>
      <c r="J53" s="45"/>
      <c r="K53" s="46"/>
      <c r="L53" s="46"/>
      <c r="M53" s="46"/>
      <c r="N53" s="46"/>
      <c r="O53" s="47"/>
      <c r="P53" s="47"/>
      <c r="Q53" s="47"/>
      <c r="R53" s="47"/>
      <c r="S53" s="47"/>
      <c r="T53" s="52"/>
    </row>
    <row r="54" spans="1:22">
      <c r="C54" s="25" t="s">
        <v>0</v>
      </c>
      <c r="D54" s="25"/>
    </row>
  </sheetData>
  <mergeCells count="21">
    <mergeCell ref="C7:C8"/>
    <mergeCell ref="E7:E8"/>
    <mergeCell ref="H2:K2"/>
    <mergeCell ref="H3:K3"/>
    <mergeCell ref="H4:K4"/>
    <mergeCell ref="F2:G2"/>
    <mergeCell ref="F3:G3"/>
    <mergeCell ref="F4:G4"/>
    <mergeCell ref="O6:P6"/>
    <mergeCell ref="F7:F8"/>
    <mergeCell ref="H7:K7"/>
    <mergeCell ref="L7:O7"/>
    <mergeCell ref="P7:S7"/>
    <mergeCell ref="H8:K8"/>
    <mergeCell ref="L8:O8"/>
    <mergeCell ref="P8:S8"/>
    <mergeCell ref="H9:K9"/>
    <mergeCell ref="L9:O9"/>
    <mergeCell ref="P9:S9"/>
    <mergeCell ref="U7:U8"/>
    <mergeCell ref="V8:V10"/>
  </mergeCells>
  <conditionalFormatting sqref="A32:A52">
    <cfRule type="cellIs" dxfId="1" priority="2" stopIfTrue="1" operator="between">
      <formula>1</formula>
      <formula>30000</formula>
    </cfRule>
  </conditionalFormatting>
  <conditionalFormatting sqref="K11:K52 O11:O52 S11:S52 V11:V52">
    <cfRule type="cellIs" dxfId="0" priority="1" stopIfTrue="1" operator="equal">
      <formula>#DIV/0!</formula>
    </cfRule>
  </conditionalFormatting>
  <dataValidations disablePrompts="1" xWindow="907" yWindow="267" count="1">
    <dataValidation type="list" allowBlank="1" showInputMessage="1" showErrorMessage="1" prompt="- CHOOSE SEASON -" sqref="V8" xr:uid="{00000000-0002-0000-0100-000000000000}">
      <formula1>$W$7:$W$10</formula1>
    </dataValidation>
  </dataValidations>
  <pageMargins left="0.28999999999999998" right="0.11811023622047245" top="0.15748031496062992" bottom="0.13" header="0.15748031496062992" footer="0.11811023622047245"/>
  <pageSetup paperSize="9" scale="76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14"/>
  <sheetViews>
    <sheetView workbookViewId="0">
      <selection activeCell="A3" sqref="A3:A14"/>
    </sheetView>
  </sheetViews>
  <sheetFormatPr baseColWidth="10" defaultColWidth="8.83203125" defaultRowHeight="13"/>
  <sheetData>
    <row r="4" spans="1:1">
      <c r="A4" s="126"/>
    </row>
    <row r="5" spans="1:1">
      <c r="A5" s="126"/>
    </row>
    <row r="6" spans="1:1">
      <c r="A6" s="126"/>
    </row>
    <row r="9" spans="1:1">
      <c r="A9" s="126"/>
    </row>
    <row r="10" spans="1:1">
      <c r="A10" s="126"/>
    </row>
    <row r="13" spans="1:1">
      <c r="A13" s="126"/>
    </row>
    <row r="14" spans="1:1">
      <c r="A14" s="1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Basic rules</vt:lpstr>
      <vt:lpstr>Ventilation required</vt:lpstr>
      <vt:lpstr>Advanced settings</vt:lpstr>
      <vt:lpstr>'Ventilation required'!Область_печати</vt:lpstr>
    </vt:vector>
  </TitlesOfParts>
  <Company>De Heus Voeders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Heijnen</dc:creator>
  <cp:lastModifiedBy>Microsoft Office User</cp:lastModifiedBy>
  <dcterms:created xsi:type="dcterms:W3CDTF">2011-09-21T13:10:31Z</dcterms:created>
  <dcterms:modified xsi:type="dcterms:W3CDTF">2025-02-06T18:37:09Z</dcterms:modified>
</cp:coreProperties>
</file>